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olymedicure1-my.sharepoint.com/personal/cs_trainee_polymedicure_com/Documents/Desktop/TRAINEE P/30.03.2024/Career/FMVA/Netflix_Modle/"/>
    </mc:Choice>
  </mc:AlternateContent>
  <xr:revisionPtr revIDLastSave="2292" documentId="11_F25DC773A252ABDACC104883591B63785ADE58EE" xr6:coauthVersionLast="47" xr6:coauthVersionMax="47" xr10:uidLastSave="{2AFAB860-B39C-442D-A959-7E75892F3707}"/>
  <bookViews>
    <workbookView xWindow="-120" yWindow="-120" windowWidth="20730" windowHeight="11040" tabRatio="1000" firstSheet="1" activeTab="7" xr2:uid="{00000000-000D-0000-FFFF-FFFF00000000}"/>
  </bookViews>
  <sheets>
    <sheet name="P&amp;L Statement " sheetId="1" r:id="rId1"/>
    <sheet name="Balance Sheet Input " sheetId="2" r:id="rId2"/>
    <sheet name="Revenue Modeling  " sheetId="3" r:id="rId3"/>
    <sheet name="Other Modeling " sheetId="4" r:id="rId4"/>
    <sheet name="Schedules" sheetId="5" r:id="rId5"/>
    <sheet name="P&amp;l Statement Forcasted " sheetId="6" r:id="rId6"/>
    <sheet name="Balance Sheet Forcast " sheetId="7" r:id="rId7"/>
    <sheet name="Cash Flow Statement 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5" l="1"/>
  <c r="F21" i="7" s="1"/>
  <c r="E21" i="7"/>
  <c r="G22" i="5"/>
  <c r="E23" i="5"/>
  <c r="D20" i="5"/>
  <c r="F22" i="8"/>
  <c r="G22" i="8"/>
  <c r="E22" i="8"/>
  <c r="F6" i="7"/>
  <c r="G6" i="7"/>
  <c r="E6" i="7"/>
  <c r="F15" i="8"/>
  <c r="G15" i="8"/>
  <c r="E15" i="8"/>
  <c r="C18" i="4"/>
  <c r="D18" i="4"/>
  <c r="E17" i="4"/>
  <c r="E16" i="8"/>
  <c r="F16" i="7"/>
  <c r="G16" i="7"/>
  <c r="E16" i="7"/>
  <c r="F14" i="8"/>
  <c r="G14" i="8"/>
  <c r="E14" i="8"/>
  <c r="F17" i="7"/>
  <c r="G17" i="7"/>
  <c r="G19" i="7" s="1"/>
  <c r="E17" i="7"/>
  <c r="F12" i="8"/>
  <c r="G12" i="8"/>
  <c r="E12" i="8"/>
  <c r="F15" i="7"/>
  <c r="G15" i="7"/>
  <c r="E15" i="7"/>
  <c r="F11" i="8"/>
  <c r="G11" i="8"/>
  <c r="E11" i="8"/>
  <c r="F9" i="7"/>
  <c r="G9" i="7"/>
  <c r="E9" i="7"/>
  <c r="F18" i="8"/>
  <c r="G18" i="8"/>
  <c r="E18" i="8"/>
  <c r="E19" i="8" s="1"/>
  <c r="F8" i="8"/>
  <c r="G8" i="8"/>
  <c r="E8" i="8"/>
  <c r="F8" i="7"/>
  <c r="G8" i="7"/>
  <c r="E8" i="7"/>
  <c r="F17" i="8"/>
  <c r="G17" i="8"/>
  <c r="G19" i="8" s="1"/>
  <c r="E17" i="8"/>
  <c r="F9" i="8"/>
  <c r="G9" i="8"/>
  <c r="E9" i="8"/>
  <c r="F19" i="7"/>
  <c r="E19" i="7"/>
  <c r="F5" i="8"/>
  <c r="G5" i="8"/>
  <c r="F6" i="8"/>
  <c r="G6" i="8"/>
  <c r="F4" i="8"/>
  <c r="G4" i="8"/>
  <c r="E6" i="8"/>
  <c r="E4" i="8"/>
  <c r="D21" i="4"/>
  <c r="F19" i="8"/>
  <c r="F16" i="8"/>
  <c r="E15" i="6"/>
  <c r="E13" i="5"/>
  <c r="E12" i="5"/>
  <c r="C12" i="5"/>
  <c r="D31" i="7"/>
  <c r="C31" i="7"/>
  <c r="B31" i="7"/>
  <c r="C23" i="7"/>
  <c r="C32" i="7" s="1"/>
  <c r="D19" i="7"/>
  <c r="D23" i="7" s="1"/>
  <c r="D32" i="7" s="1"/>
  <c r="C19" i="7"/>
  <c r="B19" i="7"/>
  <c r="B23" i="7" s="1"/>
  <c r="B32" i="7" s="1"/>
  <c r="D7" i="7"/>
  <c r="D11" i="7" s="1"/>
  <c r="C7" i="7"/>
  <c r="C11" i="7" s="1"/>
  <c r="B7" i="7"/>
  <c r="B11" i="7" s="1"/>
  <c r="B34" i="2"/>
  <c r="B32" i="2"/>
  <c r="B31" i="2"/>
  <c r="D34" i="2"/>
  <c r="C34" i="2"/>
  <c r="D31" i="2"/>
  <c r="C31" i="2"/>
  <c r="B22" i="6"/>
  <c r="C22" i="6"/>
  <c r="D22" i="6"/>
  <c r="G22" i="6" s="1"/>
  <c r="E22" i="6"/>
  <c r="F22" i="6"/>
  <c r="C23" i="6"/>
  <c r="D23" i="6"/>
  <c r="B23" i="6"/>
  <c r="C9" i="6"/>
  <c r="D9" i="6"/>
  <c r="B9" i="6"/>
  <c r="C16" i="6"/>
  <c r="D16" i="6"/>
  <c r="B16" i="6"/>
  <c r="B19" i="6"/>
  <c r="B18" i="6"/>
  <c r="B21" i="6"/>
  <c r="B8" i="6"/>
  <c r="C6" i="6"/>
  <c r="D6" i="6"/>
  <c r="E6" i="6"/>
  <c r="F6" i="6"/>
  <c r="F7" i="6" s="1"/>
  <c r="G6" i="6"/>
  <c r="C7" i="6"/>
  <c r="D7" i="6"/>
  <c r="E7" i="6"/>
  <c r="G7" i="6"/>
  <c r="B7" i="6"/>
  <c r="B6" i="6"/>
  <c r="B5" i="6"/>
  <c r="B12" i="6"/>
  <c r="D15" i="1"/>
  <c r="C15" i="1"/>
  <c r="B15" i="1"/>
  <c r="D13" i="1"/>
  <c r="C13" i="1"/>
  <c r="B13" i="1"/>
  <c r="C21" i="6"/>
  <c r="D21" i="6"/>
  <c r="C19" i="6"/>
  <c r="D19" i="6"/>
  <c r="C18" i="6"/>
  <c r="B4" i="4"/>
  <c r="C14" i="6"/>
  <c r="D14" i="6"/>
  <c r="E14" i="6"/>
  <c r="F14" i="6"/>
  <c r="G14" i="6"/>
  <c r="B14" i="6"/>
  <c r="C13" i="6"/>
  <c r="D13" i="6"/>
  <c r="E13" i="6"/>
  <c r="F13" i="6"/>
  <c r="G13" i="6"/>
  <c r="B13" i="6"/>
  <c r="C12" i="6"/>
  <c r="D12" i="6"/>
  <c r="E12" i="6"/>
  <c r="F12" i="6"/>
  <c r="G12" i="6"/>
  <c r="C8" i="6"/>
  <c r="G8" i="6"/>
  <c r="C5" i="6"/>
  <c r="D5" i="6"/>
  <c r="E5" i="6"/>
  <c r="F5" i="6"/>
  <c r="G5" i="6"/>
  <c r="C25" i="5"/>
  <c r="B6" i="5"/>
  <c r="C3" i="5" s="1"/>
  <c r="B14" i="5"/>
  <c r="C11" i="5" s="1"/>
  <c r="C23" i="5"/>
  <c r="D23" i="5"/>
  <c r="E20" i="5" s="1"/>
  <c r="B23" i="5"/>
  <c r="C20" i="5" s="1"/>
  <c r="D25" i="5"/>
  <c r="D18" i="6" s="1"/>
  <c r="B25" i="5"/>
  <c r="C14" i="5"/>
  <c r="D11" i="5" s="1"/>
  <c r="D14" i="5"/>
  <c r="E11" i="5" s="1"/>
  <c r="D6" i="5"/>
  <c r="E3" i="5" s="1"/>
  <c r="C6" i="5"/>
  <c r="D3" i="5" s="1"/>
  <c r="B26" i="4"/>
  <c r="B27" i="4" s="1"/>
  <c r="C26" i="4"/>
  <c r="C27" i="4" s="1"/>
  <c r="D26" i="4"/>
  <c r="D27" i="4" s="1"/>
  <c r="A26" i="4"/>
  <c r="B23" i="4"/>
  <c r="B24" i="4" s="1"/>
  <c r="C23" i="4"/>
  <c r="C24" i="4" s="1"/>
  <c r="D23" i="4"/>
  <c r="D24" i="4" s="1"/>
  <c r="A23" i="4"/>
  <c r="F17" i="4"/>
  <c r="G17" i="4"/>
  <c r="C20" i="4"/>
  <c r="C21" i="4" s="1"/>
  <c r="D20" i="4"/>
  <c r="E21" i="4" s="1"/>
  <c r="F21" i="4" s="1"/>
  <c r="G21" i="4" s="1"/>
  <c r="B20" i="4"/>
  <c r="C17" i="4"/>
  <c r="D17" i="4"/>
  <c r="B17" i="4"/>
  <c r="B18" i="4" s="1"/>
  <c r="B19" i="2"/>
  <c r="B23" i="2" s="1"/>
  <c r="B7" i="2"/>
  <c r="B11" i="2" s="1"/>
  <c r="F13" i="4"/>
  <c r="G13" i="4"/>
  <c r="E13" i="4"/>
  <c r="F14" i="4"/>
  <c r="G14" i="4"/>
  <c r="E14" i="4"/>
  <c r="C14" i="4"/>
  <c r="D14" i="4"/>
  <c r="B14" i="4"/>
  <c r="C13" i="4"/>
  <c r="D13" i="4"/>
  <c r="B13" i="4"/>
  <c r="F8" i="4"/>
  <c r="G8" i="4"/>
  <c r="E8" i="4"/>
  <c r="F11" i="4"/>
  <c r="G11" i="4"/>
  <c r="E11" i="4"/>
  <c r="E10" i="4"/>
  <c r="G10" i="4"/>
  <c r="C11" i="4"/>
  <c r="D11" i="4"/>
  <c r="B11" i="4"/>
  <c r="C10" i="4"/>
  <c r="D10" i="4"/>
  <c r="B10" i="4"/>
  <c r="E7" i="4"/>
  <c r="G7" i="4"/>
  <c r="D4" i="4"/>
  <c r="D5" i="4" s="1"/>
  <c r="C8" i="4"/>
  <c r="D8" i="4"/>
  <c r="B8" i="4"/>
  <c r="D7" i="4"/>
  <c r="C7" i="4"/>
  <c r="B7" i="4"/>
  <c r="C4" i="4"/>
  <c r="C5" i="4" s="1"/>
  <c r="G4" i="3"/>
  <c r="F4" i="3"/>
  <c r="E4" i="3"/>
  <c r="F7" i="3"/>
  <c r="G7" i="3"/>
  <c r="E7" i="3"/>
  <c r="F5" i="3"/>
  <c r="G5" i="3" s="1"/>
  <c r="E5" i="3"/>
  <c r="C6" i="3"/>
  <c r="F6" i="3"/>
  <c r="G6" i="3" s="1"/>
  <c r="E6" i="3"/>
  <c r="D6" i="3"/>
  <c r="E27" i="3"/>
  <c r="F27" i="3"/>
  <c r="E12" i="3"/>
  <c r="E10" i="3" s="1"/>
  <c r="E26" i="3"/>
  <c r="F26" i="3" s="1"/>
  <c r="G26" i="3" s="1"/>
  <c r="E21" i="3"/>
  <c r="F21" i="3" s="1"/>
  <c r="G21" i="3" s="1"/>
  <c r="E17" i="3"/>
  <c r="E16" i="3"/>
  <c r="F16" i="3" s="1"/>
  <c r="G16" i="3" s="1"/>
  <c r="F11" i="3"/>
  <c r="G11" i="3" s="1"/>
  <c r="E11" i="3"/>
  <c r="D27" i="3"/>
  <c r="C27" i="3"/>
  <c r="D22" i="3"/>
  <c r="C22" i="3"/>
  <c r="E22" i="3" s="1"/>
  <c r="D17" i="3"/>
  <c r="C17" i="3"/>
  <c r="C12" i="3"/>
  <c r="D12" i="3"/>
  <c r="C7" i="3"/>
  <c r="B7" i="3"/>
  <c r="D7" i="3"/>
  <c r="C19" i="2"/>
  <c r="C23" i="2" s="1"/>
  <c r="C32" i="2" s="1"/>
  <c r="D19" i="2"/>
  <c r="D23" i="2" s="1"/>
  <c r="D32" i="2" s="1"/>
  <c r="C7" i="2"/>
  <c r="C11" i="2" s="1"/>
  <c r="D7" i="2"/>
  <c r="D11" i="2" s="1"/>
  <c r="B9" i="1"/>
  <c r="C9" i="1"/>
  <c r="D9" i="1"/>
  <c r="F20" i="5" l="1"/>
  <c r="G20" i="5" s="1"/>
  <c r="G23" i="5" s="1"/>
  <c r="F23" i="7"/>
  <c r="E23" i="7"/>
  <c r="G16" i="8"/>
  <c r="C34" i="7"/>
  <c r="D34" i="7"/>
  <c r="B34" i="7"/>
  <c r="E5" i="8"/>
  <c r="D4" i="5"/>
  <c r="G4" i="5" s="1"/>
  <c r="E24" i="4"/>
  <c r="E23" i="4" s="1"/>
  <c r="D12" i="5"/>
  <c r="F12" i="5" s="1"/>
  <c r="C16" i="5"/>
  <c r="D8" i="5"/>
  <c r="C4" i="5"/>
  <c r="C8" i="5" s="1"/>
  <c r="E27" i="4"/>
  <c r="E26" i="4" s="1"/>
  <c r="D22" i="5"/>
  <c r="C26" i="5"/>
  <c r="E4" i="5"/>
  <c r="F4" i="5"/>
  <c r="C22" i="5"/>
  <c r="B26" i="5"/>
  <c r="E8" i="6"/>
  <c r="D8" i="6"/>
  <c r="D10" i="6" s="1"/>
  <c r="F8" i="6"/>
  <c r="B10" i="6"/>
  <c r="C10" i="6"/>
  <c r="D26" i="5"/>
  <c r="B5" i="4"/>
  <c r="B21" i="4"/>
  <c r="G12" i="5"/>
  <c r="F7" i="4"/>
  <c r="F10" i="4"/>
  <c r="F5" i="4"/>
  <c r="F4" i="4" s="1"/>
  <c r="G5" i="4"/>
  <c r="G4" i="4" s="1"/>
  <c r="E5" i="4"/>
  <c r="E4" i="4" s="1"/>
  <c r="E25" i="3"/>
  <c r="F12" i="3"/>
  <c r="G12" i="3" s="1"/>
  <c r="G22" i="3"/>
  <c r="F22" i="3"/>
  <c r="F25" i="3"/>
  <c r="E20" i="3"/>
  <c r="F20" i="3" s="1"/>
  <c r="F17" i="3"/>
  <c r="G17" i="3" s="1"/>
  <c r="E15" i="3"/>
  <c r="F15" i="3" s="1"/>
  <c r="G21" i="7" l="1"/>
  <c r="G23" i="7" s="1"/>
  <c r="G7" i="8"/>
  <c r="G10" i="8" s="1"/>
  <c r="F7" i="8"/>
  <c r="F10" i="8" s="1"/>
  <c r="F21" i="8" s="1"/>
  <c r="E7" i="8"/>
  <c r="E10" i="8" s="1"/>
  <c r="E21" i="8" s="1"/>
  <c r="D16" i="5"/>
  <c r="E16" i="5" s="1"/>
  <c r="F24" i="4"/>
  <c r="F23" i="4" s="1"/>
  <c r="E8" i="5"/>
  <c r="E5" i="5" s="1"/>
  <c r="F26" i="5"/>
  <c r="F25" i="5" s="1"/>
  <c r="E26" i="5"/>
  <c r="E25" i="5" s="1"/>
  <c r="F27" i="4"/>
  <c r="G27" i="4" s="1"/>
  <c r="G26" i="4" s="1"/>
  <c r="G26" i="5"/>
  <c r="G25" i="5" s="1"/>
  <c r="G24" i="4"/>
  <c r="G23" i="4" s="1"/>
  <c r="C17" i="6"/>
  <c r="C20" i="6" s="1"/>
  <c r="C15" i="6"/>
  <c r="D15" i="6"/>
  <c r="D17" i="6" s="1"/>
  <c r="D20" i="6" s="1"/>
  <c r="B15" i="6"/>
  <c r="B17" i="6" s="1"/>
  <c r="B20" i="6" s="1"/>
  <c r="F20" i="4"/>
  <c r="E20" i="4"/>
  <c r="G20" i="4"/>
  <c r="F8" i="5"/>
  <c r="G8" i="5" s="1"/>
  <c r="G27" i="3"/>
  <c r="G25" i="3" s="1"/>
  <c r="G20" i="3"/>
  <c r="G15" i="3"/>
  <c r="E18" i="6" l="1"/>
  <c r="E23" i="8"/>
  <c r="F18" i="6"/>
  <c r="F23" i="8"/>
  <c r="G18" i="6"/>
  <c r="G23" i="8"/>
  <c r="G21" i="8"/>
  <c r="E14" i="5"/>
  <c r="F16" i="5"/>
  <c r="G16" i="5" s="1"/>
  <c r="F26" i="4"/>
  <c r="E6" i="5"/>
  <c r="F3" i="5" s="1"/>
  <c r="F5" i="5" s="1"/>
  <c r="E16" i="6"/>
  <c r="E9" i="6" s="1"/>
  <c r="E10" i="6" s="1"/>
  <c r="E17" i="6" s="1"/>
  <c r="F10" i="3"/>
  <c r="G10" i="3" s="1"/>
  <c r="E20" i="6" l="1"/>
  <c r="E21" i="6" s="1"/>
  <c r="E24" i="8" s="1"/>
  <c r="E25" i="8" s="1"/>
  <c r="E4" i="7" s="1"/>
  <c r="E7" i="7" s="1"/>
  <c r="E11" i="7" s="1"/>
  <c r="F11" i="5"/>
  <c r="F13" i="5" s="1"/>
  <c r="F6" i="5"/>
  <c r="G3" i="5" s="1"/>
  <c r="G5" i="5" s="1"/>
  <c r="F16" i="6"/>
  <c r="F9" i="6" s="1"/>
  <c r="F10" i="6" s="1"/>
  <c r="F15" i="6" s="1"/>
  <c r="F17" i="6" s="1"/>
  <c r="F20" i="6" s="1"/>
  <c r="F21" i="6" s="1"/>
  <c r="F24" i="8" s="1"/>
  <c r="F25" i="8" s="1"/>
  <c r="F4" i="7" l="1"/>
  <c r="E23" i="6"/>
  <c r="E30" i="7" s="1"/>
  <c r="F14" i="5"/>
  <c r="F23" i="6"/>
  <c r="G6" i="5"/>
  <c r="G16" i="6"/>
  <c r="G9" i="6" s="1"/>
  <c r="G10" i="6" s="1"/>
  <c r="G15" i="6" s="1"/>
  <c r="G17" i="6" s="1"/>
  <c r="G20" i="6" s="1"/>
  <c r="F30" i="7" l="1"/>
  <c r="E31" i="7"/>
  <c r="E32" i="7" s="1"/>
  <c r="F7" i="7"/>
  <c r="F11" i="7" s="1"/>
  <c r="G11" i="5"/>
  <c r="G13" i="5" s="1"/>
  <c r="G21" i="6"/>
  <c r="G23" i="6" l="1"/>
  <c r="G30" i="7" s="1"/>
  <c r="G31" i="7" s="1"/>
  <c r="G32" i="7" s="1"/>
  <c r="G24" i="8"/>
  <c r="G25" i="8" s="1"/>
  <c r="G4" i="7" s="1"/>
  <c r="G7" i="7" s="1"/>
  <c r="G11" i="7" s="1"/>
  <c r="E34" i="7"/>
  <c r="E37" i="7"/>
  <c r="F31" i="7"/>
  <c r="F32" i="7" s="1"/>
  <c r="F34" i="7" s="1"/>
  <c r="G14" i="5"/>
  <c r="G34" i="7" l="1"/>
  <c r="G37" i="7"/>
  <c r="F37" i="7"/>
</calcChain>
</file>

<file path=xl/sharedStrings.xml><?xml version="1.0" encoding="utf-8"?>
<sst xmlns="http://schemas.openxmlformats.org/spreadsheetml/2006/main" count="228" uniqueCount="139">
  <si>
    <t xml:space="preserve">P &amp; L Statement </t>
  </si>
  <si>
    <t xml:space="preserve">(in thousand) </t>
  </si>
  <si>
    <t xml:space="preserve">Revenues </t>
  </si>
  <si>
    <t xml:space="preserve">Cost of revenue </t>
  </si>
  <si>
    <t xml:space="preserve">Sales and Marketing </t>
  </si>
  <si>
    <t>Technology and development</t>
  </si>
  <si>
    <t>General and administrative</t>
  </si>
  <si>
    <t>Operating income</t>
  </si>
  <si>
    <t>Other income (expense):</t>
  </si>
  <si>
    <t xml:space="preserve">Interest Expense </t>
  </si>
  <si>
    <t xml:space="preserve">Interest and Other Income ( Expense) </t>
  </si>
  <si>
    <t xml:space="preserve">Income before income taxes </t>
  </si>
  <si>
    <t xml:space="preserve">Provison for income taxes </t>
  </si>
  <si>
    <t xml:space="preserve">Net Income </t>
  </si>
  <si>
    <t>Earnig per share</t>
  </si>
  <si>
    <t>Basic</t>
  </si>
  <si>
    <t xml:space="preserve">Diluted </t>
  </si>
  <si>
    <t xml:space="preserve">Weighted Average shares of common stock outstanding </t>
  </si>
  <si>
    <t>Balance Sheet</t>
  </si>
  <si>
    <t xml:space="preserve">Asset </t>
  </si>
  <si>
    <t xml:space="preserve">Current  asset </t>
  </si>
  <si>
    <t>Cash and cash equivalents</t>
  </si>
  <si>
    <t>Short-term investments</t>
  </si>
  <si>
    <t>Other current assets</t>
  </si>
  <si>
    <t>Total current assets</t>
  </si>
  <si>
    <t>Liabilities and Stockholders’ Equity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</si>
  <si>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</si>
  <si>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</si>
  <si>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</si>
  <si>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</si>
  <si>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</si>
  <si>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</si>
  <si>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</si>
  <si>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</si>
  <si>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</si>
  <si>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</si>
  <si>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</si>
  <si>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Commitments and contingencies (Note 9)</t>
  </si>
  <si>
    <t>Stockholders’ equity:</t>
  </si>
  <si>
    <t>Content assets, net</t>
  </si>
  <si>
    <t>Property and equipment, net</t>
  </si>
  <si>
    <t>Other non-current assets</t>
  </si>
  <si>
    <t>Total assets</t>
  </si>
  <si>
    <t>Streaming revenues</t>
  </si>
  <si>
    <t>DVD revenues</t>
  </si>
  <si>
    <t>Total Revenue</t>
  </si>
  <si>
    <t xml:space="preserve">Financial Results </t>
  </si>
  <si>
    <t>Revenue</t>
  </si>
  <si>
    <t xml:space="preserve">Growth% </t>
  </si>
  <si>
    <t xml:space="preserve">Average paid Membership </t>
  </si>
  <si>
    <t>2025(Given)</t>
  </si>
  <si>
    <t>2024(Given)</t>
  </si>
  <si>
    <t>2023(Given)</t>
  </si>
  <si>
    <t>2026(Forcast)</t>
  </si>
  <si>
    <t>2027(Forcast)</t>
  </si>
  <si>
    <t>2028(Forcast)</t>
  </si>
  <si>
    <t xml:space="preserve">Assumption </t>
  </si>
  <si>
    <t xml:space="preserve">Revenue Growth with avg rate </t>
  </si>
  <si>
    <t>Revenue Source (In Thousand )</t>
  </si>
  <si>
    <t xml:space="preserve">(In thousands) </t>
  </si>
  <si>
    <t xml:space="preserve">Cost of Good Sold </t>
  </si>
  <si>
    <t xml:space="preserve">Other Items </t>
  </si>
  <si>
    <t xml:space="preserve">as  a % revenue </t>
  </si>
  <si>
    <t xml:space="preserve">as a % revenue </t>
  </si>
  <si>
    <t>Cashflow</t>
  </si>
  <si>
    <t xml:space="preserve">Other Current assets </t>
  </si>
  <si>
    <t xml:space="preserve">Other items </t>
  </si>
  <si>
    <t>Schedules</t>
  </si>
  <si>
    <t xml:space="preserve">Accounts Payable </t>
  </si>
  <si>
    <t>Days Payable</t>
  </si>
  <si>
    <t>(IN thousand)</t>
  </si>
  <si>
    <t>Beginning Balance</t>
  </si>
  <si>
    <t>add: Capex</t>
  </si>
  <si>
    <t xml:space="preserve">less: Depreciation  </t>
  </si>
  <si>
    <t>Closing Balance</t>
  </si>
  <si>
    <t>UCAN(United States and Canada)</t>
  </si>
  <si>
    <t>EMEA(Europe, Middle East, and Africa)</t>
  </si>
  <si>
    <t>LATAM (Latin America)</t>
  </si>
  <si>
    <t>APAC (Asia-Pacific)</t>
  </si>
  <si>
    <t xml:space="preserve">Property, Plant and Equipment </t>
  </si>
  <si>
    <t xml:space="preserve">Useful Life </t>
  </si>
  <si>
    <t xml:space="preserve">Notes </t>
  </si>
  <si>
    <t>usefullife/Depriciatiomn</t>
  </si>
  <si>
    <t xml:space="preserve">Capex Constant </t>
  </si>
  <si>
    <t>Assumption :</t>
  </si>
  <si>
    <t>Content Assets</t>
  </si>
  <si>
    <t xml:space="preserve">less: Amortisation </t>
  </si>
  <si>
    <t xml:space="preserve">add: Addition </t>
  </si>
  <si>
    <t>Useful life</t>
  </si>
  <si>
    <t>Debt Schedule</t>
  </si>
  <si>
    <t xml:space="preserve">add: Dedt Took </t>
  </si>
  <si>
    <t xml:space="preserve">less: Dedt paid </t>
  </si>
  <si>
    <t>Interest Rate</t>
  </si>
  <si>
    <t xml:space="preserve">Streaming Revenues </t>
  </si>
  <si>
    <t xml:space="preserve">Total Revenue </t>
  </si>
  <si>
    <t xml:space="preserve">Cost of good Sold </t>
  </si>
  <si>
    <t xml:space="preserve">Gross Margin </t>
  </si>
  <si>
    <t>EBITDA</t>
  </si>
  <si>
    <t xml:space="preserve">LESS: Deprication </t>
  </si>
  <si>
    <t>EBIT</t>
  </si>
  <si>
    <t xml:space="preserve">EBT </t>
  </si>
  <si>
    <t>Tax</t>
  </si>
  <si>
    <t>Tax rate @</t>
  </si>
  <si>
    <t xml:space="preserve">PAT </t>
  </si>
  <si>
    <t xml:space="preserve">Marketing </t>
  </si>
  <si>
    <t>-</t>
  </si>
  <si>
    <t>P &amp; L Statement (Given)</t>
  </si>
  <si>
    <t>Operating Expenses :</t>
  </si>
  <si>
    <t>DVR</t>
  </si>
  <si>
    <t xml:space="preserve">Operating Taxes </t>
  </si>
  <si>
    <t xml:space="preserve">Operating Tax Rate </t>
  </si>
  <si>
    <t xml:space="preserve">NOPAT </t>
  </si>
  <si>
    <t xml:space="preserve">Add: Deprication </t>
  </si>
  <si>
    <t xml:space="preserve">Add; Amortisation </t>
  </si>
  <si>
    <t xml:space="preserve">Gross Cash Flow </t>
  </si>
  <si>
    <t xml:space="preserve">Investments in Working Capital </t>
  </si>
  <si>
    <t xml:space="preserve">Capex </t>
  </si>
  <si>
    <t xml:space="preserve">Extraordinary Item </t>
  </si>
  <si>
    <t xml:space="preserve">UFCF </t>
  </si>
  <si>
    <t xml:space="preserve">Difference Between Actual and Opt. Tax </t>
  </si>
  <si>
    <t xml:space="preserve">Interest Exp </t>
  </si>
  <si>
    <t xml:space="preserve">Debt Repaid </t>
  </si>
  <si>
    <t xml:space="preserve">Net Cash Flow </t>
  </si>
  <si>
    <t xml:space="preserve">Content Assets </t>
  </si>
  <si>
    <t xml:space="preserve">PP&amp;E </t>
  </si>
  <si>
    <t xml:space="preserve">Account Payable </t>
  </si>
  <si>
    <t xml:space="preserve">Deferred Revenue </t>
  </si>
  <si>
    <t xml:space="preserve">Accrued expenses and other Liablites </t>
  </si>
  <si>
    <t xml:space="preserve">Other  Current Asstes </t>
  </si>
  <si>
    <t xml:space="preserve">Check </t>
  </si>
  <si>
    <t xml:space="preserve">Common Stock </t>
  </si>
  <si>
    <t xml:space="preserve">Treasury Stock  </t>
  </si>
  <si>
    <t>Accumulated other comprehensive income(bs)</t>
  </si>
  <si>
    <t xml:space="preserve">Retained earnings </t>
  </si>
  <si>
    <t xml:space="preserve">Total Stockholder Equity </t>
  </si>
  <si>
    <t xml:space="preserve">Total liabilities  and stockholding equity </t>
  </si>
  <si>
    <t>preferred stock</t>
  </si>
  <si>
    <t>Liabilities and Stockholders Equity</t>
  </si>
  <si>
    <t xml:space="preserve">Cash &amp; Cash Equivalent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</si>
</sst>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_-[$$-409]* #,##0_ ;_-[$$-409]* \-#,##0\ ;_-[$$-409]* &quot;-&quot;??_ ;_-@_ "/>
  </numFmts>
  <fonts count="1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1"/>
      <name val="Book Antiqua"/>
      <family val="1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1" fillId="4" borderId="0" applyNumberFormat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9" fontId="0" fillId="0" borderId="0" xfId="1" applyFont="1"/>
    <xf numFmtId="9" fontId="4" fillId="2" borderId="0" xfId="0" applyNumberFormat="1" applyFont="1" applyFill="1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9" fontId="0" fillId="0" borderId="0" xfId="0" applyNumberFormat="1"/>
    <xf numFmtId="0" fontId="5" fillId="0" borderId="0" xfId="0" applyFont="1" applyAlignment="1">
      <alignment horizontal="center"/>
    </xf>
    <xf numFmtId="164" fontId="3" fillId="0" borderId="0" xfId="0" applyNumberFormat="1" applyFont="1"/>
    <xf numFmtId="164" fontId="0" fillId="0" borderId="0" xfId="2" applyNumberFormat="1" applyFont="1"/>
    <xf numFmtId="0" fontId="7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0" xfId="0" applyFont="1" applyFill="1"/>
    <xf numFmtId="10" fontId="0" fillId="0" borderId="0" xfId="0" applyNumberFormat="1"/>
    <xf numFmtId="10" fontId="0" fillId="2" borderId="0" xfId="0" applyNumberFormat="1" applyFill="1"/>
    <xf numFmtId="9" fontId="0" fillId="2" borderId="0" xfId="0" applyNumberFormat="1" applyFill="1"/>
    <xf numFmtId="164" fontId="0" fillId="0" borderId="1" xfId="0" applyNumberFormat="1" applyBorder="1"/>
    <xf numFmtId="164" fontId="3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/>
    <xf numFmtId="165" fontId="0" fillId="0" borderId="1" xfId="0" applyNumberFormat="1" applyBorder="1"/>
    <xf numFmtId="2" fontId="0" fillId="0" borderId="0" xfId="0" applyNumberFormat="1"/>
    <xf numFmtId="1" fontId="0" fillId="0" borderId="0" xfId="0" applyNumberFormat="1"/>
    <xf numFmtId="9" fontId="0" fillId="2" borderId="0" xfId="1" applyFont="1" applyFill="1"/>
    <xf numFmtId="2" fontId="0" fillId="2" borderId="0" xfId="0" applyNumberFormat="1" applyFill="1"/>
    <xf numFmtId="165" fontId="0" fillId="0" borderId="0" xfId="0" applyNumberFormat="1" applyAlignment="1">
      <alignment horizontal="left"/>
    </xf>
    <xf numFmtId="0" fontId="8" fillId="0" borderId="0" xfId="0" applyFont="1"/>
    <xf numFmtId="165" fontId="0" fillId="3" borderId="0" xfId="0" applyNumberFormat="1" applyFill="1"/>
    <xf numFmtId="2" fontId="0" fillId="3" borderId="0" xfId="0" applyNumberFormat="1" applyFill="1"/>
    <xf numFmtId="0" fontId="1" fillId="0" borderId="0" xfId="0" applyFont="1" applyAlignment="1">
      <alignment horizontal="left"/>
    </xf>
    <xf numFmtId="0" fontId="0" fillId="3" borderId="0" xfId="0" applyFill="1"/>
    <xf numFmtId="9" fontId="0" fillId="3" borderId="0" xfId="1" applyFont="1" applyFill="1"/>
    <xf numFmtId="9" fontId="0" fillId="3" borderId="0" xfId="0" applyNumberFormat="1" applyFill="1"/>
    <xf numFmtId="164" fontId="0" fillId="0" borderId="9" xfId="0" applyNumberFormat="1" applyBorder="1"/>
    <xf numFmtId="0" fontId="3" fillId="0" borderId="10" xfId="0" applyFont="1" applyBorder="1"/>
    <xf numFmtId="164" fontId="3" fillId="0" borderId="11" xfId="0" applyNumberFormat="1" applyFont="1" applyBorder="1"/>
    <xf numFmtId="164" fontId="3" fillId="0" borderId="9" xfId="0" applyNumberFormat="1" applyFont="1" applyBorder="1"/>
    <xf numFmtId="165" fontId="1" fillId="0" borderId="0" xfId="0" applyNumberFormat="1" applyFont="1"/>
    <xf numFmtId="165" fontId="3" fillId="0" borderId="2" xfId="0" applyNumberFormat="1" applyFont="1" applyBorder="1"/>
    <xf numFmtId="165" fontId="3" fillId="0" borderId="5" xfId="0" applyNumberFormat="1" applyFont="1" applyBorder="1"/>
    <xf numFmtId="165" fontId="3" fillId="0" borderId="1" xfId="0" applyNumberFormat="1" applyFont="1" applyBorder="1"/>
    <xf numFmtId="165" fontId="3" fillId="0" borderId="6" xfId="0" applyNumberFormat="1" applyFont="1" applyBorder="1"/>
    <xf numFmtId="165" fontId="0" fillId="0" borderId="7" xfId="0" applyNumberFormat="1" applyBorder="1" applyAlignment="1">
      <alignment horizontal="right"/>
    </xf>
    <xf numFmtId="165" fontId="0" fillId="0" borderId="8" xfId="0" applyNumberFormat="1" applyBorder="1"/>
    <xf numFmtId="165" fontId="0" fillId="0" borderId="5" xfId="0" applyNumberFormat="1" applyBorder="1" applyAlignment="1">
      <alignment horizontal="right"/>
    </xf>
    <xf numFmtId="165" fontId="0" fillId="0" borderId="1" xfId="2" applyNumberFormat="1" applyFont="1" applyBorder="1"/>
    <xf numFmtId="165" fontId="0" fillId="0" borderId="6" xfId="0" applyNumberFormat="1" applyBorder="1"/>
    <xf numFmtId="165" fontId="3" fillId="0" borderId="7" xfId="0" applyNumberFormat="1" applyFont="1" applyBorder="1"/>
    <xf numFmtId="165" fontId="3" fillId="0" borderId="5" xfId="0" applyNumberFormat="1" applyFont="1" applyBorder="1" applyAlignment="1">
      <alignment horizontal="left"/>
    </xf>
    <xf numFmtId="165" fontId="0" fillId="0" borderId="9" xfId="0" applyNumberFormat="1" applyBorder="1"/>
    <xf numFmtId="165" fontId="3" fillId="0" borderId="7" xfId="0" applyNumberFormat="1" applyFont="1" applyBorder="1" applyAlignment="1">
      <alignment horizontal="left"/>
    </xf>
    <xf numFmtId="165" fontId="3" fillId="0" borderId="10" xfId="0" applyNumberFormat="1" applyFont="1" applyBorder="1"/>
    <xf numFmtId="165" fontId="3" fillId="0" borderId="11" xfId="0" applyNumberFormat="1" applyFont="1" applyBorder="1"/>
    <xf numFmtId="0" fontId="3" fillId="0" borderId="3" xfId="0" applyFont="1" applyBorder="1"/>
    <xf numFmtId="0" fontId="3" fillId="0" borderId="4" xfId="0" applyFont="1" applyBorder="1"/>
    <xf numFmtId="165" fontId="0" fillId="0" borderId="1" xfId="0" applyNumberFormat="1" applyBorder="1" applyAlignment="1">
      <alignment horizontal="left"/>
    </xf>
    <xf numFmtId="165" fontId="3" fillId="0" borderId="0" xfId="0" applyNumberFormat="1" applyFont="1" applyAlignment="1">
      <alignment horizontal="left"/>
    </xf>
    <xf numFmtId="1" fontId="3" fillId="0" borderId="0" xfId="0" applyNumberFormat="1" applyFont="1"/>
    <xf numFmtId="0" fontId="3" fillId="0" borderId="10" xfId="0" applyFont="1" applyBorder="1" applyAlignment="1">
      <alignment horizontal="left"/>
    </xf>
    <xf numFmtId="164" fontId="0" fillId="0" borderId="11" xfId="0" applyNumberFormat="1" applyBorder="1"/>
    <xf numFmtId="0" fontId="0" fillId="0" borderId="12" xfId="0" applyBorder="1"/>
    <xf numFmtId="164" fontId="0" fillId="0" borderId="13" xfId="0" applyNumberFormat="1" applyBorder="1"/>
    <xf numFmtId="164" fontId="0" fillId="0" borderId="14" xfId="0" applyNumberFormat="1" applyBorder="1"/>
    <xf numFmtId="0" fontId="0" fillId="0" borderId="15" xfId="0" applyBorder="1"/>
    <xf numFmtId="0" fontId="0" fillId="0" borderId="16" xfId="0" applyBorder="1"/>
    <xf numFmtId="164" fontId="0" fillId="0" borderId="17" xfId="0" applyNumberFormat="1" applyBorder="1"/>
    <xf numFmtId="0" fontId="0" fillId="0" borderId="15" xfId="0" applyBorder="1" applyAlignment="1">
      <alignment horizontal="right"/>
    </xf>
    <xf numFmtId="0" fontId="3" fillId="0" borderId="16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/>
    <xf numFmtId="0" fontId="0" fillId="0" borderId="16" xfId="0" applyBorder="1" applyAlignment="1">
      <alignment horizontal="right"/>
    </xf>
    <xf numFmtId="0" fontId="3" fillId="0" borderId="16" xfId="0" applyFont="1" applyBorder="1"/>
    <xf numFmtId="9" fontId="0" fillId="0" borderId="0" xfId="1" applyFont="1" applyBorder="1"/>
    <xf numFmtId="9" fontId="0" fillId="3" borderId="0" xfId="1" applyFont="1" applyFill="1" applyBorder="1"/>
    <xf numFmtId="9" fontId="0" fillId="3" borderId="17" xfId="1" applyFont="1" applyFill="1" applyBorder="1"/>
    <xf numFmtId="0" fontId="0" fillId="0" borderId="1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0" fillId="0" borderId="22" xfId="0" applyBorder="1"/>
    <xf numFmtId="0" fontId="3" fillId="0" borderId="23" xfId="0" applyFont="1" applyBorder="1"/>
    <xf numFmtId="165" fontId="0" fillId="0" borderId="24" xfId="0" applyNumberFormat="1" applyBorder="1"/>
    <xf numFmtId="165" fontId="0" fillId="0" borderId="25" xfId="0" applyNumberFormat="1" applyBorder="1"/>
    <xf numFmtId="165" fontId="3" fillId="0" borderId="24" xfId="0" applyNumberFormat="1" applyFont="1" applyBorder="1" applyAlignment="1">
      <alignment horizontal="left"/>
    </xf>
    <xf numFmtId="165" fontId="3" fillId="0" borderId="25" xfId="0" applyNumberFormat="1" applyFont="1" applyBorder="1"/>
    <xf numFmtId="165" fontId="3" fillId="0" borderId="24" xfId="0" applyNumberFormat="1" applyFont="1" applyBorder="1"/>
    <xf numFmtId="0" fontId="3" fillId="0" borderId="22" xfId="0" applyFont="1" applyBorder="1" applyAlignment="1">
      <alignment horizontal="center"/>
    </xf>
    <xf numFmtId="1" fontId="3" fillId="0" borderId="22" xfId="0" applyNumberFormat="1" applyFont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0" fillId="0" borderId="0" xfId="0" applyFont="1"/>
    <xf numFmtId="164" fontId="0" fillId="0" borderId="12" xfId="0" applyNumberFormat="1" applyBorder="1"/>
    <xf numFmtId="164" fontId="0" fillId="0" borderId="16" xfId="0" applyNumberFormat="1" applyBorder="1"/>
    <xf numFmtId="9" fontId="0" fillId="0" borderId="15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1" fillId="4" borderId="22" xfId="3" applyBorder="1"/>
    <xf numFmtId="0" fontId="1" fillId="0" borderId="22" xfId="0" applyFont="1" applyBorder="1"/>
    <xf numFmtId="0" fontId="9" fillId="0" borderId="22" xfId="0" applyFont="1" applyBorder="1" applyAlignment="1">
      <alignment horizontal="left"/>
    </xf>
    <xf numFmtId="164" fontId="3" fillId="0" borderId="22" xfId="0" applyNumberFormat="1" applyFont="1" applyBorder="1" applyAlignment="1">
      <alignment horizontal="left"/>
    </xf>
    <xf numFmtId="164" fontId="0" fillId="0" borderId="22" xfId="0" applyNumberFormat="1" applyBorder="1"/>
    <xf numFmtId="1" fontId="0" fillId="0" borderId="22" xfId="0" applyNumberFormat="1" applyBorder="1"/>
    <xf numFmtId="0" fontId="0" fillId="0" borderId="22" xfId="0" applyBorder="1" applyAlignment="1">
      <alignment horizontal="left"/>
    </xf>
    <xf numFmtId="164" fontId="0" fillId="0" borderId="22" xfId="0" applyNumberFormat="1" applyBorder="1" applyAlignment="1">
      <alignment horizontal="left"/>
    </xf>
    <xf numFmtId="0" fontId="0" fillId="0" borderId="22" xfId="0" applyBorder="1" applyAlignment="1">
      <alignment horizontal="center"/>
    </xf>
    <xf numFmtId="165" fontId="0" fillId="0" borderId="22" xfId="0" applyNumberFormat="1" applyBorder="1" applyAlignment="1">
      <alignment horizontal="left"/>
    </xf>
    <xf numFmtId="0" fontId="3" fillId="0" borderId="22" xfId="0" applyFont="1" applyBorder="1" applyAlignment="1">
      <alignment horizontal="right"/>
    </xf>
    <xf numFmtId="165" fontId="3" fillId="0" borderId="22" xfId="0" applyNumberFormat="1" applyFont="1" applyBorder="1" applyAlignment="1">
      <alignment horizontal="left"/>
    </xf>
    <xf numFmtId="0" fontId="6" fillId="0" borderId="22" xfId="0" applyFont="1" applyBorder="1"/>
    <xf numFmtId="0" fontId="0" fillId="0" borderId="22" xfId="0" applyBorder="1" applyAlignment="1">
      <alignment horizontal="right"/>
    </xf>
    <xf numFmtId="0" fontId="6" fillId="0" borderId="22" xfId="0" applyFont="1" applyBorder="1" applyAlignment="1">
      <alignment horizontal="left"/>
    </xf>
    <xf numFmtId="165" fontId="0" fillId="0" borderId="22" xfId="0" applyNumberFormat="1" applyBorder="1"/>
    <xf numFmtId="3" fontId="0" fillId="0" borderId="22" xfId="0" applyNumberFormat="1" applyBorder="1"/>
    <xf numFmtId="0" fontId="3" fillId="0" borderId="22" xfId="0" applyFont="1" applyBorder="1"/>
    <xf numFmtId="165" fontId="3" fillId="0" borderId="22" xfId="0" applyNumberFormat="1" applyFont="1" applyBorder="1"/>
    <xf numFmtId="0" fontId="3" fillId="0" borderId="11" xfId="0" applyFont="1" applyBorder="1"/>
    <xf numFmtId="164" fontId="3" fillId="0" borderId="13" xfId="0" applyNumberFormat="1" applyFont="1" applyBorder="1"/>
    <xf numFmtId="164" fontId="3" fillId="0" borderId="14" xfId="0" applyNumberFormat="1" applyFont="1" applyBorder="1"/>
    <xf numFmtId="164" fontId="3" fillId="0" borderId="17" xfId="0" applyNumberFormat="1" applyFont="1" applyBorder="1"/>
    <xf numFmtId="164" fontId="3" fillId="0" borderId="1" xfId="0" applyNumberFormat="1" applyFont="1" applyBorder="1"/>
    <xf numFmtId="164" fontId="3" fillId="0" borderId="18" xfId="0" applyNumberFormat="1" applyFont="1" applyBorder="1"/>
    <xf numFmtId="0" fontId="3" fillId="5" borderId="20" xfId="0" applyFont="1" applyFill="1" applyBorder="1"/>
    <xf numFmtId="0" fontId="0" fillId="5" borderId="12" xfId="0" applyFill="1" applyBorder="1"/>
    <xf numFmtId="0" fontId="0" fillId="5" borderId="13" xfId="0" applyFill="1" applyBorder="1"/>
    <xf numFmtId="164" fontId="3" fillId="5" borderId="13" xfId="0" applyNumberFormat="1" applyFont="1" applyFill="1" applyBorder="1"/>
  </cellXfs>
  <cellStyles count="4">
    <cellStyle name="Currency" xfId="2" builtinId="4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18</xdr:row>
      <xdr:rowOff>0</xdr:rowOff>
    </xdr:from>
    <xdr:to>
      <xdr:col>28</xdr:col>
      <xdr:colOff>601774</xdr:colOff>
      <xdr:row>47</xdr:row>
      <xdr:rowOff>38876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07AF6-549E-7339-7FDC-AAD063452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300" y="3581400"/>
          <a:ext cx="12184175" cy="5563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zoomScale="104" workbookViewId="0"/>
  </sheetViews>
  <sheetFormatPr defaultRowHeight="15" x14ac:dyDescent="0.25"/>
  <cols>
    <col min="1" max="1" width="51.85546875" bestFit="1" customWidth="1"/>
    <col min="2" max="4" width="16.28515625" bestFit="1" customWidth="1"/>
  </cols>
  <sheetData>
    <row r="1" spans="1:4" ht="26.25" x14ac:dyDescent="0.4">
      <c r="A1" s="47" t="s">
        <v>106</v>
      </c>
      <c r="B1" s="29"/>
      <c r="C1" s="29"/>
      <c r="D1" s="29"/>
    </row>
    <row r="2" spans="1:4" ht="15.75" thickBot="1" x14ac:dyDescent="0.3">
      <c r="A2" s="29" t="s">
        <v>1</v>
      </c>
      <c r="B2" s="29"/>
      <c r="C2" s="29"/>
      <c r="D2" s="29"/>
    </row>
    <row r="3" spans="1:4" s="5" customFormat="1" x14ac:dyDescent="0.25">
      <c r="A3" s="48"/>
      <c r="B3" s="63">
        <v>2023</v>
      </c>
      <c r="C3" s="63">
        <v>2024</v>
      </c>
      <c r="D3" s="64">
        <v>2025</v>
      </c>
    </row>
    <row r="4" spans="1:4" x14ac:dyDescent="0.25">
      <c r="A4" s="49" t="s">
        <v>2</v>
      </c>
      <c r="B4" s="50">
        <v>33723297</v>
      </c>
      <c r="C4" s="50">
        <v>39000966</v>
      </c>
      <c r="D4" s="51">
        <v>45183036</v>
      </c>
    </row>
    <row r="5" spans="1:4" x14ac:dyDescent="0.25">
      <c r="A5" s="52" t="s">
        <v>3</v>
      </c>
      <c r="B5" s="29">
        <v>19715368</v>
      </c>
      <c r="C5" s="29">
        <v>21038464</v>
      </c>
      <c r="D5" s="53">
        <v>23275329</v>
      </c>
    </row>
    <row r="6" spans="1:4" x14ac:dyDescent="0.25">
      <c r="A6" s="52" t="s">
        <v>4</v>
      </c>
      <c r="B6" s="29">
        <v>2657883</v>
      </c>
      <c r="C6" s="29">
        <v>2917554</v>
      </c>
      <c r="D6" s="53">
        <v>3301306</v>
      </c>
    </row>
    <row r="7" spans="1:4" x14ac:dyDescent="0.25">
      <c r="A7" s="52" t="s">
        <v>5</v>
      </c>
      <c r="B7" s="29">
        <v>2675758</v>
      </c>
      <c r="C7" s="29">
        <v>2925295</v>
      </c>
      <c r="D7" s="53">
        <v>3391390</v>
      </c>
    </row>
    <row r="8" spans="1:4" x14ac:dyDescent="0.25">
      <c r="A8" s="52" t="s">
        <v>6</v>
      </c>
      <c r="B8" s="29">
        <v>1720285</v>
      </c>
      <c r="C8" s="29">
        <v>1702039</v>
      </c>
      <c r="D8" s="53">
        <v>1888408</v>
      </c>
    </row>
    <row r="9" spans="1:4" x14ac:dyDescent="0.25">
      <c r="A9" s="54" t="s">
        <v>7</v>
      </c>
      <c r="B9" s="55">
        <f>SUM(B4-(B5+B6+B7+B8))</f>
        <v>6954003</v>
      </c>
      <c r="C9" s="30">
        <f>SUM(C4-(C5+C6+C7+C8))</f>
        <v>10417614</v>
      </c>
      <c r="D9" s="56">
        <f>SUM(D4-(D5+D6+D7+D8))</f>
        <v>13326603</v>
      </c>
    </row>
    <row r="10" spans="1:4" x14ac:dyDescent="0.25">
      <c r="A10" s="57" t="s">
        <v>8</v>
      </c>
      <c r="B10" s="29"/>
      <c r="C10" s="29"/>
      <c r="D10" s="53"/>
    </row>
    <row r="11" spans="1:4" x14ac:dyDescent="0.25">
      <c r="A11" s="52" t="s">
        <v>9</v>
      </c>
      <c r="B11" s="29">
        <v>-699826</v>
      </c>
      <c r="C11" s="29">
        <v>-718733</v>
      </c>
      <c r="D11" s="53">
        <v>-776510</v>
      </c>
    </row>
    <row r="12" spans="1:4" x14ac:dyDescent="0.25">
      <c r="A12" s="54" t="s">
        <v>10</v>
      </c>
      <c r="B12" s="30">
        <v>-48772</v>
      </c>
      <c r="C12" s="30">
        <v>266776</v>
      </c>
      <c r="D12" s="56">
        <v>172459</v>
      </c>
    </row>
    <row r="13" spans="1:4" x14ac:dyDescent="0.25">
      <c r="A13" s="58" t="s">
        <v>11</v>
      </c>
      <c r="B13" s="30">
        <f>SUM(B9:B12)</f>
        <v>6205405</v>
      </c>
      <c r="C13" s="30">
        <f>SUM(C9:C12)</f>
        <v>9965657</v>
      </c>
      <c r="D13" s="59">
        <f>SUM(D9:D12)</f>
        <v>12722552</v>
      </c>
    </row>
    <row r="14" spans="1:4" x14ac:dyDescent="0.25">
      <c r="A14" s="60" t="s">
        <v>12</v>
      </c>
      <c r="B14" s="29">
        <v>-797415</v>
      </c>
      <c r="C14" s="29">
        <v>-1254026</v>
      </c>
      <c r="D14" s="53">
        <v>-1741351</v>
      </c>
    </row>
    <row r="15" spans="1:4" x14ac:dyDescent="0.25">
      <c r="A15" s="61" t="s">
        <v>13</v>
      </c>
      <c r="B15" s="62">
        <f>SUM(B13:B14)</f>
        <v>5407990</v>
      </c>
      <c r="C15" s="62">
        <f>SUM(C13:C14)</f>
        <v>8711631</v>
      </c>
      <c r="D15" s="62">
        <f>SUM(D13:D14)</f>
        <v>10981201</v>
      </c>
    </row>
    <row r="17" spans="1:4" x14ac:dyDescent="0.25">
      <c r="A17" t="s">
        <v>14</v>
      </c>
    </row>
    <row r="18" spans="1:4" x14ac:dyDescent="0.25">
      <c r="A18" t="s">
        <v>15</v>
      </c>
      <c r="B18">
        <v>1.22</v>
      </c>
      <c r="C18">
        <v>2.0299999999999998</v>
      </c>
      <c r="D18">
        <v>2.58</v>
      </c>
    </row>
    <row r="19" spans="1:4" x14ac:dyDescent="0.25">
      <c r="A19" t="s">
        <v>16</v>
      </c>
      <c r="B19">
        <v>1.2</v>
      </c>
      <c r="C19">
        <v>1.98</v>
      </c>
      <c r="D19">
        <v>2.5299999999999998</v>
      </c>
    </row>
    <row r="21" spans="1:4" x14ac:dyDescent="0.25">
      <c r="A21" t="s">
        <v>17</v>
      </c>
    </row>
    <row r="22" spans="1:4" x14ac:dyDescent="0.25">
      <c r="A22" t="s">
        <v>15</v>
      </c>
      <c r="B22" s="3">
        <v>4415712</v>
      </c>
      <c r="C22" s="3">
        <v>4295191</v>
      </c>
      <c r="D22" s="3">
        <v>4249512</v>
      </c>
    </row>
    <row r="23" spans="1:4" x14ac:dyDescent="0.25">
      <c r="A23" t="s">
        <v>16</v>
      </c>
      <c r="B23" s="3">
        <v>4494966</v>
      </c>
      <c r="C23" s="3">
        <v>4392608</v>
      </c>
      <c r="D23" s="3">
        <v>4343863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6240-1E5A-4458-A77D-5E7BAACE16DE}">
  <dimension ref="A1:F34"/>
  <sheetViews>
    <sheetView workbookViewId="0">
      <selection activeCell="D13" sqref="D13"/>
    </sheetView>
  </sheetViews>
  <sheetFormatPr defaultRowHeight="15" x14ac:dyDescent="0.25"/>
  <cols>
    <col min="1" max="1" width="43.5703125" bestFit="1" customWidth="1"/>
    <col min="2" max="2" width="16.85546875" style="12" bestFit="1" customWidth="1"/>
    <col min="3" max="3" width="23.5703125" style="12" bestFit="1" customWidth="1"/>
    <col min="4" max="4" width="19.5703125" style="32" bestFit="1" customWidth="1"/>
    <col min="6" max="6" width="12" bestFit="1" customWidth="1"/>
  </cols>
  <sheetData>
    <row r="1" spans="1:6" ht="26.25" x14ac:dyDescent="0.4">
      <c r="A1" s="4" t="s">
        <v>18</v>
      </c>
      <c r="B1" s="5">
        <v>2023</v>
      </c>
      <c r="C1" s="5">
        <v>2024</v>
      </c>
      <c r="D1" s="67">
        <v>2025</v>
      </c>
    </row>
    <row r="2" spans="1:6" x14ac:dyDescent="0.25">
      <c r="A2" s="6" t="s">
        <v>19</v>
      </c>
      <c r="B2" s="27"/>
    </row>
    <row r="3" spans="1:6" x14ac:dyDescent="0.25">
      <c r="A3" s="2" t="s">
        <v>20</v>
      </c>
      <c r="B3" s="28"/>
    </row>
    <row r="4" spans="1:6" x14ac:dyDescent="0.25">
      <c r="A4" s="7" t="s">
        <v>21</v>
      </c>
      <c r="B4" s="35">
        <v>7116913</v>
      </c>
      <c r="C4" s="35">
        <v>7804733</v>
      </c>
      <c r="D4" s="35">
        <v>9033681</v>
      </c>
      <c r="F4" s="5" t="s">
        <v>64</v>
      </c>
    </row>
    <row r="5" spans="1:6" x14ac:dyDescent="0.25">
      <c r="A5" s="7" t="s">
        <v>22</v>
      </c>
      <c r="B5" s="35">
        <v>20973</v>
      </c>
      <c r="C5" s="35">
        <v>1779006</v>
      </c>
      <c r="D5" s="35">
        <v>28678</v>
      </c>
    </row>
    <row r="6" spans="1:6" x14ac:dyDescent="0.25">
      <c r="A6" s="7" t="s">
        <v>23</v>
      </c>
      <c r="B6" s="65">
        <v>2780247</v>
      </c>
      <c r="C6" s="65">
        <v>3516640</v>
      </c>
      <c r="D6" s="65">
        <v>3957832</v>
      </c>
      <c r="F6" t="s">
        <v>66</v>
      </c>
    </row>
    <row r="7" spans="1:6" x14ac:dyDescent="0.25">
      <c r="A7" s="8" t="s">
        <v>24</v>
      </c>
      <c r="B7" s="66">
        <f>SUM(B4:B6)</f>
        <v>9918133</v>
      </c>
      <c r="C7" s="66">
        <f>SUM(C4:C6)</f>
        <v>13100379</v>
      </c>
      <c r="D7" s="66">
        <f>SUM(D4:D6)</f>
        <v>13020191</v>
      </c>
    </row>
    <row r="8" spans="1:6" x14ac:dyDescent="0.25">
      <c r="A8" t="s">
        <v>39</v>
      </c>
      <c r="B8" s="35">
        <v>31658056</v>
      </c>
      <c r="C8" s="35">
        <v>32452462</v>
      </c>
      <c r="D8" s="35">
        <v>32778392</v>
      </c>
      <c r="F8" t="s">
        <v>67</v>
      </c>
    </row>
    <row r="9" spans="1:6" x14ac:dyDescent="0.25">
      <c r="A9" t="s">
        <v>40</v>
      </c>
      <c r="B9" s="35">
        <v>1491444</v>
      </c>
      <c r="C9" s="35">
        <v>1593756</v>
      </c>
      <c r="D9" s="35">
        <v>2004350</v>
      </c>
      <c r="F9" t="s">
        <v>67</v>
      </c>
    </row>
    <row r="10" spans="1:6" x14ac:dyDescent="0.25">
      <c r="A10" t="s">
        <v>41</v>
      </c>
      <c r="B10" s="65">
        <v>5664359</v>
      </c>
      <c r="C10" s="65">
        <v>6483777</v>
      </c>
      <c r="D10" s="65">
        <v>7794060</v>
      </c>
    </row>
    <row r="11" spans="1:6" x14ac:dyDescent="0.25">
      <c r="A11" s="8" t="s">
        <v>42</v>
      </c>
      <c r="B11" s="66">
        <f>SUM(B7:B10)</f>
        <v>48731992</v>
      </c>
      <c r="C11" s="66">
        <f>SUM(C7:C10)</f>
        <v>53630374</v>
      </c>
      <c r="D11" s="66">
        <f>SUM(D7:D10)</f>
        <v>55596993</v>
      </c>
    </row>
    <row r="12" spans="1:6" x14ac:dyDescent="0.25">
      <c r="A12" s="5" t="s">
        <v>25</v>
      </c>
      <c r="B12" s="66"/>
      <c r="C12" s="35"/>
      <c r="D12" s="35"/>
    </row>
    <row r="13" spans="1:6" x14ac:dyDescent="0.25">
      <c r="A13" t="s">
        <v>26</v>
      </c>
      <c r="B13" s="35"/>
      <c r="C13" s="35"/>
      <c r="D13" s="35"/>
    </row>
    <row r="14" spans="1:6" x14ac:dyDescent="0.25">
      <c r="A14" s="1" t="s">
        <v>27</v>
      </c>
      <c r="B14" s="35">
        <v>4466470</v>
      </c>
      <c r="C14" s="35">
        <v>4393681</v>
      </c>
      <c r="D14" s="35">
        <v>4084854</v>
      </c>
    </row>
    <row r="15" spans="1:6" x14ac:dyDescent="0.25">
      <c r="A15" s="1" t="s">
        <v>28</v>
      </c>
      <c r="B15" s="35">
        <v>747412</v>
      </c>
      <c r="C15" s="35">
        <v>899909</v>
      </c>
      <c r="D15" s="35">
        <v>900612</v>
      </c>
      <c r="F15" t="s">
        <v>66</v>
      </c>
    </row>
    <row r="16" spans="1:6" x14ac:dyDescent="0.25">
      <c r="A16" s="1" t="s">
        <v>29</v>
      </c>
      <c r="B16" s="35">
        <v>1803960</v>
      </c>
      <c r="C16" s="35">
        <v>2156544</v>
      </c>
      <c r="D16" s="35">
        <v>3220869</v>
      </c>
      <c r="F16" t="s">
        <v>66</v>
      </c>
    </row>
    <row r="17" spans="1:6" x14ac:dyDescent="0.25">
      <c r="A17" s="1" t="s">
        <v>30</v>
      </c>
      <c r="B17" s="35">
        <v>1442969</v>
      </c>
      <c r="C17" s="35">
        <v>1520813</v>
      </c>
      <c r="D17" s="35">
        <v>1775730</v>
      </c>
      <c r="F17" t="s">
        <v>66</v>
      </c>
    </row>
    <row r="18" spans="1:6" x14ac:dyDescent="0.25">
      <c r="A18" s="1" t="s">
        <v>31</v>
      </c>
      <c r="B18" s="65">
        <v>399844</v>
      </c>
      <c r="C18" s="65">
        <v>1784453</v>
      </c>
      <c r="D18" s="65">
        <v>998865</v>
      </c>
    </row>
    <row r="19" spans="1:6" x14ac:dyDescent="0.25">
      <c r="A19" s="9" t="s">
        <v>32</v>
      </c>
      <c r="B19" s="66">
        <f>SUM(B14:B18)</f>
        <v>8860655</v>
      </c>
      <c r="C19" s="66">
        <f>SUM(C14:C18)</f>
        <v>10755400</v>
      </c>
      <c r="D19" s="66">
        <f>SUM(D14:D18)</f>
        <v>10980930</v>
      </c>
    </row>
    <row r="20" spans="1:6" x14ac:dyDescent="0.25">
      <c r="A20" s="2" t="s">
        <v>33</v>
      </c>
      <c r="B20" s="35">
        <v>2578173</v>
      </c>
      <c r="C20" s="35">
        <v>1780806</v>
      </c>
      <c r="D20" s="35">
        <v>1579476</v>
      </c>
    </row>
    <row r="21" spans="1:6" x14ac:dyDescent="0.25">
      <c r="A21" s="2" t="s">
        <v>34</v>
      </c>
      <c r="B21" s="35">
        <v>14143417</v>
      </c>
      <c r="C21" s="35">
        <v>13798351</v>
      </c>
      <c r="D21" s="35">
        <v>13463971</v>
      </c>
    </row>
    <row r="22" spans="1:6" x14ac:dyDescent="0.25">
      <c r="A22" s="2" t="s">
        <v>35</v>
      </c>
      <c r="B22" s="65">
        <v>2561434</v>
      </c>
      <c r="C22" s="65">
        <v>2552250</v>
      </c>
      <c r="D22" s="65">
        <v>2957128</v>
      </c>
    </row>
    <row r="23" spans="1:6" x14ac:dyDescent="0.25">
      <c r="A23" s="9" t="s">
        <v>36</v>
      </c>
      <c r="B23" s="66">
        <f>SUM(B19:B22)</f>
        <v>28143679</v>
      </c>
      <c r="C23" s="66">
        <f>SUM(C19:C22)</f>
        <v>28886807</v>
      </c>
      <c r="D23" s="66">
        <f>SUM(D19:D22)</f>
        <v>28981505</v>
      </c>
    </row>
    <row r="24" spans="1:6" x14ac:dyDescent="0.25">
      <c r="A24" t="s">
        <v>37</v>
      </c>
    </row>
    <row r="25" spans="1:6" x14ac:dyDescent="0.25">
      <c r="A25" t="s">
        <v>38</v>
      </c>
    </row>
    <row r="26" spans="1:6" x14ac:dyDescent="0.25">
      <c r="A26" t="s">
        <v>136</v>
      </c>
      <c r="B26" s="29"/>
    </row>
    <row r="27" spans="1:6" x14ac:dyDescent="0.25">
      <c r="A27" s="7" t="s">
        <v>130</v>
      </c>
      <c r="B27" s="29">
        <v>5145172</v>
      </c>
      <c r="C27" s="3">
        <v>6252126</v>
      </c>
      <c r="D27" s="3">
        <v>7286410</v>
      </c>
    </row>
    <row r="28" spans="1:6" x14ac:dyDescent="0.25">
      <c r="A28" s="7" t="s">
        <v>131</v>
      </c>
      <c r="B28" s="29">
        <v>-6922200</v>
      </c>
      <c r="C28" s="3">
        <v>-13171638</v>
      </c>
      <c r="D28" s="3">
        <v>-22372658</v>
      </c>
    </row>
    <row r="29" spans="1:6" x14ac:dyDescent="0.25">
      <c r="A29" s="7" t="s">
        <v>132</v>
      </c>
      <c r="B29" s="29">
        <v>-223945</v>
      </c>
      <c r="C29" s="3">
        <v>362162</v>
      </c>
      <c r="D29" s="3">
        <v>-580382</v>
      </c>
    </row>
    <row r="30" spans="1:6" ht="15.75" thickBot="1" x14ac:dyDescent="0.3">
      <c r="A30" s="7" t="s">
        <v>133</v>
      </c>
      <c r="B30" s="29">
        <v>22589286</v>
      </c>
      <c r="C30" s="3">
        <v>31300917</v>
      </c>
      <c r="D30" s="3">
        <v>42282118</v>
      </c>
    </row>
    <row r="31" spans="1:6" ht="15.75" thickBot="1" x14ac:dyDescent="0.3">
      <c r="A31" s="93" t="s">
        <v>134</v>
      </c>
      <c r="B31" s="94">
        <f>SUM(B27:B30)</f>
        <v>20588313</v>
      </c>
      <c r="C31" s="94">
        <f>SUM(C27:C30)</f>
        <v>24743567</v>
      </c>
      <c r="D31" s="95">
        <f>SUM(D27:D30)</f>
        <v>26615488</v>
      </c>
    </row>
    <row r="32" spans="1:6" ht="15.75" thickBot="1" x14ac:dyDescent="0.3">
      <c r="A32" s="93" t="s">
        <v>135</v>
      </c>
      <c r="B32" s="98">
        <f>SUM(B23+B31)</f>
        <v>48731992</v>
      </c>
      <c r="C32" s="96">
        <f>SUM(C23,C31)</f>
        <v>53630374</v>
      </c>
      <c r="D32" s="97">
        <f>SUM(D23,D31)</f>
        <v>55596993</v>
      </c>
    </row>
    <row r="34" spans="1:4" x14ac:dyDescent="0.25">
      <c r="A34" t="s">
        <v>129</v>
      </c>
      <c r="B34" s="12" t="b">
        <f>B11=B32</f>
        <v>1</v>
      </c>
      <c r="C34" s="12" t="b">
        <f>C32=C11</f>
        <v>1</v>
      </c>
      <c r="D34" s="12" t="b">
        <f>D32=D11</f>
        <v>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8E33-038F-4A8D-BF25-5E6983ADA6F8}">
  <dimension ref="A1:M27"/>
  <sheetViews>
    <sheetView topLeftCell="A4" workbookViewId="0">
      <selection activeCell="I8" sqref="I8"/>
    </sheetView>
  </sheetViews>
  <sheetFormatPr defaultRowHeight="15" x14ac:dyDescent="0.25"/>
  <cols>
    <col min="1" max="1" width="38.5703125" bestFit="1" customWidth="1"/>
    <col min="2" max="4" width="15.85546875" bestFit="1" customWidth="1"/>
    <col min="5" max="7" width="15.5703125" bestFit="1" customWidth="1"/>
    <col min="9" max="9" width="16.28515625" bestFit="1" customWidth="1"/>
    <col min="13" max="13" width="28.7109375" bestFit="1" customWidth="1"/>
  </cols>
  <sheetData>
    <row r="1" spans="1:13" ht="28.5" x14ac:dyDescent="0.45">
      <c r="A1" s="4" t="s">
        <v>58</v>
      </c>
      <c r="M1" s="16" t="s">
        <v>56</v>
      </c>
    </row>
    <row r="2" spans="1:13" x14ac:dyDescent="0.25">
      <c r="M2" s="14" t="s">
        <v>57</v>
      </c>
    </row>
    <row r="3" spans="1:13" s="5" customFormat="1" x14ac:dyDescent="0.25">
      <c r="A3" s="5" t="s">
        <v>46</v>
      </c>
      <c r="B3" s="5" t="s">
        <v>52</v>
      </c>
      <c r="C3" s="5" t="s">
        <v>51</v>
      </c>
      <c r="D3" s="5" t="s">
        <v>50</v>
      </c>
      <c r="E3" s="22" t="s">
        <v>53</v>
      </c>
      <c r="F3" s="22" t="s">
        <v>54</v>
      </c>
      <c r="G3" s="22" t="s">
        <v>55</v>
      </c>
      <c r="M3" s="22"/>
    </row>
    <row r="4" spans="1:13" x14ac:dyDescent="0.25">
      <c r="A4" s="2" t="s">
        <v>43</v>
      </c>
      <c r="B4" s="12">
        <v>33640458</v>
      </c>
      <c r="C4" s="12">
        <v>39000966</v>
      </c>
      <c r="D4" s="12">
        <v>45183036</v>
      </c>
      <c r="E4" s="12">
        <f>D4*E6+D4</f>
        <v>52363925.009127975</v>
      </c>
      <c r="F4" s="12">
        <f>E4*F6+E4</f>
        <v>60675115.734998152</v>
      </c>
      <c r="G4" s="12">
        <f>F4*G6+F4</f>
        <v>70311800.179306179</v>
      </c>
    </row>
    <row r="5" spans="1:13" x14ac:dyDescent="0.25">
      <c r="A5" s="2" t="s">
        <v>44</v>
      </c>
      <c r="B5" s="3">
        <v>82839</v>
      </c>
      <c r="C5">
        <v>0</v>
      </c>
      <c r="D5">
        <v>0</v>
      </c>
      <c r="E5">
        <f>D5*E6+D5</f>
        <v>0</v>
      </c>
      <c r="F5">
        <f t="shared" ref="F5:G5" si="0">E5*F6+E5</f>
        <v>0</v>
      </c>
      <c r="G5">
        <f t="shared" si="0"/>
        <v>0</v>
      </c>
    </row>
    <row r="6" spans="1:13" x14ac:dyDescent="0.25">
      <c r="A6" s="2" t="s">
        <v>48</v>
      </c>
      <c r="B6" s="3"/>
      <c r="C6" s="10">
        <f>C4/B4-1</f>
        <v>0.15934705764112955</v>
      </c>
      <c r="D6" s="10">
        <f>D4/C4-1</f>
        <v>0.15851068919677536</v>
      </c>
      <c r="E6" s="15">
        <f>AVERAGE(C6:D6)</f>
        <v>0.15892887341895245</v>
      </c>
      <c r="F6" s="15">
        <f t="shared" ref="F6:G6" si="1">AVERAGE(D6:E6)</f>
        <v>0.15871978130786391</v>
      </c>
      <c r="G6" s="15">
        <f t="shared" si="1"/>
        <v>0.15882432736340818</v>
      </c>
    </row>
    <row r="7" spans="1:13" x14ac:dyDescent="0.25">
      <c r="A7" s="5" t="s">
        <v>45</v>
      </c>
      <c r="B7" s="17">
        <f>SUM(B4:B5)</f>
        <v>33723297</v>
      </c>
      <c r="C7" s="17">
        <f t="shared" ref="C7" si="2">SUM(C4:C5)</f>
        <v>39000966</v>
      </c>
      <c r="D7" s="17">
        <f>SUM(D4:D5)</f>
        <v>45183036</v>
      </c>
      <c r="E7" s="13">
        <f>SUM(E4:E5)</f>
        <v>52363925.009127975</v>
      </c>
      <c r="F7" s="13">
        <f t="shared" ref="F7:G7" si="3">SUM(F4:F5)</f>
        <v>60675115.734998152</v>
      </c>
      <c r="G7" s="13">
        <f t="shared" si="3"/>
        <v>70311800.179306179</v>
      </c>
    </row>
    <row r="8" spans="1:13" x14ac:dyDescent="0.25">
      <c r="I8" s="12"/>
    </row>
    <row r="9" spans="1:13" x14ac:dyDescent="0.25">
      <c r="A9" s="5" t="s">
        <v>75</v>
      </c>
    </row>
    <row r="10" spans="1:13" x14ac:dyDescent="0.25">
      <c r="A10" t="s">
        <v>47</v>
      </c>
      <c r="B10" s="12">
        <v>14873783</v>
      </c>
      <c r="C10" s="12">
        <v>17359369</v>
      </c>
      <c r="D10" s="12">
        <v>19957152</v>
      </c>
      <c r="E10" s="13">
        <f>D10*E12+D10</f>
        <v>22718814.790903836</v>
      </c>
      <c r="F10" s="13">
        <f t="shared" ref="F10:G10" si="4">E10*F12+E10</f>
        <v>25536253.634520605</v>
      </c>
      <c r="G10" s="13">
        <f t="shared" si="4"/>
        <v>28375796.487099662</v>
      </c>
      <c r="I10" s="3"/>
    </row>
    <row r="11" spans="1:13" x14ac:dyDescent="0.25">
      <c r="A11" t="s">
        <v>49</v>
      </c>
      <c r="B11">
        <v>37</v>
      </c>
      <c r="C11">
        <v>37</v>
      </c>
      <c r="D11">
        <v>37</v>
      </c>
      <c r="E11">
        <f>AVERAGE(B11:D11)</f>
        <v>37</v>
      </c>
      <c r="F11">
        <f t="shared" ref="F11:G11" si="5">AVERAGE(C11:E11)</f>
        <v>37</v>
      </c>
      <c r="G11">
        <f t="shared" si="5"/>
        <v>37</v>
      </c>
    </row>
    <row r="12" spans="1:13" x14ac:dyDescent="0.25">
      <c r="A12" s="2" t="s">
        <v>48</v>
      </c>
      <c r="C12" s="10">
        <f>C10/B10-1</f>
        <v>0.16711189076780264</v>
      </c>
      <c r="D12" s="10">
        <f>D10/C10-1</f>
        <v>0.14964731724983782</v>
      </c>
      <c r="E12" s="11">
        <f>AVERAGE(C12:D12)-2%</f>
        <v>0.13837960400882024</v>
      </c>
      <c r="F12" s="11">
        <f>AVERAGE(D12:E12)-2%</f>
        <v>0.12401346062932901</v>
      </c>
      <c r="G12" s="11">
        <f>AVERAGE(E12:F12)-2%</f>
        <v>0.11119653231907463</v>
      </c>
    </row>
    <row r="13" spans="1:13" x14ac:dyDescent="0.25">
      <c r="A13" s="2"/>
    </row>
    <row r="14" spans="1:13" x14ac:dyDescent="0.25">
      <c r="A14" s="5" t="s">
        <v>76</v>
      </c>
    </row>
    <row r="15" spans="1:13" x14ac:dyDescent="0.25">
      <c r="A15" t="s">
        <v>47</v>
      </c>
      <c r="B15" s="12">
        <v>10556487</v>
      </c>
      <c r="C15" s="12">
        <v>12387035</v>
      </c>
      <c r="D15" s="12">
        <v>14514646</v>
      </c>
      <c r="E15" s="13">
        <f>D15*E17+D15</f>
        <v>17019628.274100173</v>
      </c>
      <c r="F15" s="13">
        <f t="shared" ref="F15:G15" si="6">E15*F17+E15</f>
        <v>19949933.38968496</v>
      </c>
      <c r="G15" s="13">
        <f t="shared" si="6"/>
        <v>23388854.78716201</v>
      </c>
    </row>
    <row r="16" spans="1:13" x14ac:dyDescent="0.25">
      <c r="A16" t="s">
        <v>49</v>
      </c>
      <c r="B16">
        <v>37</v>
      </c>
      <c r="C16">
        <v>37</v>
      </c>
      <c r="D16">
        <v>37</v>
      </c>
      <c r="E16">
        <f>AVERAGE(B16:D16)</f>
        <v>37</v>
      </c>
      <c r="F16">
        <f t="shared" ref="F16" si="7">AVERAGE(C16:E16)</f>
        <v>37</v>
      </c>
      <c r="G16">
        <f t="shared" ref="G16" si="8">AVERAGE(D16:F16)</f>
        <v>37</v>
      </c>
    </row>
    <row r="17" spans="1:7" x14ac:dyDescent="0.25">
      <c r="A17" t="s">
        <v>48</v>
      </c>
      <c r="C17" s="10">
        <f>C15/B15-1</f>
        <v>0.17340503521673445</v>
      </c>
      <c r="D17" s="10">
        <f>D15/C15-1</f>
        <v>0.17176111958995843</v>
      </c>
      <c r="E17" s="11">
        <f>AVERAGE(C17:D17)</f>
        <v>0.17258307740334644</v>
      </c>
      <c r="F17" s="11">
        <f>AVERAGE(D17:E17)</f>
        <v>0.17217209849665244</v>
      </c>
      <c r="G17" s="11">
        <f t="shared" ref="G17" si="9">AVERAGE(E17:F17)</f>
        <v>0.17237758794999944</v>
      </c>
    </row>
    <row r="19" spans="1:7" x14ac:dyDescent="0.25">
      <c r="A19" s="5" t="s">
        <v>77</v>
      </c>
    </row>
    <row r="20" spans="1:7" x14ac:dyDescent="0.25">
      <c r="A20" t="s">
        <v>47</v>
      </c>
      <c r="B20" s="12">
        <v>4446461</v>
      </c>
      <c r="C20" s="12">
        <v>4839816</v>
      </c>
      <c r="D20" s="12">
        <v>5357521</v>
      </c>
      <c r="E20" s="13">
        <f>D20*E22+D20</f>
        <v>5881038.2521438422</v>
      </c>
      <c r="F20" s="13">
        <f t="shared" ref="F20:G20" si="10">E20*F22+E20</f>
        <v>6482916.1524816575</v>
      </c>
      <c r="G20" s="13">
        <f t="shared" si="10"/>
        <v>7131397.1958102332</v>
      </c>
    </row>
    <row r="21" spans="1:7" x14ac:dyDescent="0.25">
      <c r="A21" t="s">
        <v>49</v>
      </c>
      <c r="B21">
        <v>37</v>
      </c>
      <c r="C21">
        <v>37</v>
      </c>
      <c r="D21">
        <v>37</v>
      </c>
      <c r="E21">
        <f>AVERAGE(B21:D21)</f>
        <v>37</v>
      </c>
      <c r="F21">
        <f t="shared" ref="F21" si="11">AVERAGE(C21:E21)</f>
        <v>37</v>
      </c>
      <c r="G21">
        <f t="shared" ref="G21" si="12">AVERAGE(D21:F21)</f>
        <v>37</v>
      </c>
    </row>
    <row r="22" spans="1:7" x14ac:dyDescent="0.25">
      <c r="A22" t="s">
        <v>48</v>
      </c>
      <c r="C22" s="10">
        <f>C20/B20-1</f>
        <v>8.846473633750529E-2</v>
      </c>
      <c r="D22" s="10">
        <f>D20/C20-1</f>
        <v>0.10696790952383317</v>
      </c>
      <c r="E22" s="11">
        <f>AVERAGE(C22:D22)</f>
        <v>9.771632293066923E-2</v>
      </c>
      <c r="F22" s="11">
        <f>AVERAGE(D22:E22)</f>
        <v>0.1023421162272512</v>
      </c>
      <c r="G22" s="11">
        <f t="shared" ref="G22" si="13">AVERAGE(E22:F22)</f>
        <v>0.10002921957896022</v>
      </c>
    </row>
    <row r="24" spans="1:7" x14ac:dyDescent="0.25">
      <c r="A24" s="5" t="s">
        <v>78</v>
      </c>
    </row>
    <row r="25" spans="1:7" x14ac:dyDescent="0.25">
      <c r="A25" t="s">
        <v>47</v>
      </c>
      <c r="B25" s="12">
        <v>3763727</v>
      </c>
      <c r="C25" s="12">
        <v>4414746</v>
      </c>
      <c r="D25" s="12">
        <v>5353717</v>
      </c>
      <c r="E25" s="13">
        <f>D25*E27+D25</f>
        <v>6386078.5233739736</v>
      </c>
      <c r="F25" s="13">
        <f t="shared" ref="F25:G25" si="14">E25*F27+E25</f>
        <v>7680921.3944231253</v>
      </c>
      <c r="G25" s="13">
        <f t="shared" si="14"/>
        <v>9200173.2637376226</v>
      </c>
    </row>
    <row r="26" spans="1:7" x14ac:dyDescent="0.25">
      <c r="A26" t="s">
        <v>49</v>
      </c>
      <c r="B26">
        <v>37</v>
      </c>
      <c r="C26">
        <v>37</v>
      </c>
      <c r="D26">
        <v>37</v>
      </c>
      <c r="E26">
        <f>AVERAGE(B26:D26)</f>
        <v>37</v>
      </c>
      <c r="F26">
        <f t="shared" ref="F26" si="15">AVERAGE(C26:E26)</f>
        <v>37</v>
      </c>
      <c r="G26">
        <f t="shared" ref="G26" si="16">AVERAGE(D26:F26)</f>
        <v>37</v>
      </c>
    </row>
    <row r="27" spans="1:7" x14ac:dyDescent="0.25">
      <c r="A27" t="s">
        <v>48</v>
      </c>
      <c r="C27" s="10">
        <f>C25/B25-1</f>
        <v>0.17297189727097639</v>
      </c>
      <c r="D27" s="10">
        <f>D25/C25-1</f>
        <v>0.2126896994753491</v>
      </c>
      <c r="E27" s="11">
        <f>AVERAGE(C27:D27)</f>
        <v>0.19283079837316275</v>
      </c>
      <c r="F27" s="11">
        <f>AVERAGE(D27:E27)</f>
        <v>0.20276024892425593</v>
      </c>
      <c r="G27" s="11">
        <f t="shared" ref="G27" si="17">AVERAGE(E27:F27)</f>
        <v>0.19779552364870934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FE18-B96A-4C11-B1E9-2E262A6662BF}">
  <dimension ref="A1:G27"/>
  <sheetViews>
    <sheetView topLeftCell="A11" workbookViewId="0">
      <selection activeCell="E17" sqref="E17"/>
    </sheetView>
  </sheetViews>
  <sheetFormatPr defaultRowHeight="15" x14ac:dyDescent="0.25"/>
  <cols>
    <col min="1" max="1" width="18.85546875" customWidth="1"/>
    <col min="2" max="7" width="15.5703125" bestFit="1" customWidth="1"/>
  </cols>
  <sheetData>
    <row r="1" spans="1:7" ht="23.25" x14ac:dyDescent="0.35">
      <c r="A1" s="19" t="s">
        <v>61</v>
      </c>
    </row>
    <row r="3" spans="1:7" s="7" customFormat="1" ht="15.75" x14ac:dyDescent="0.25">
      <c r="A3" s="20" t="s">
        <v>59</v>
      </c>
      <c r="B3" s="20" t="s">
        <v>52</v>
      </c>
      <c r="C3" s="20" t="s">
        <v>51</v>
      </c>
      <c r="D3" s="20" t="s">
        <v>50</v>
      </c>
      <c r="E3" s="21" t="s">
        <v>53</v>
      </c>
      <c r="F3" s="21" t="s">
        <v>54</v>
      </c>
      <c r="G3" s="21" t="s">
        <v>55</v>
      </c>
    </row>
    <row r="4" spans="1:7" x14ac:dyDescent="0.25">
      <c r="A4" s="2" t="s">
        <v>60</v>
      </c>
      <c r="B4" s="12">
        <f>'P&amp;L Statement '!$B$5</f>
        <v>19715368</v>
      </c>
      <c r="C4" s="12">
        <f>'P&amp;L Statement '!$C$5</f>
        <v>21038464</v>
      </c>
      <c r="D4" s="12">
        <f>'P&amp;L Statement '!$D$5</f>
        <v>23275329</v>
      </c>
      <c r="E4" s="18">
        <f>'Revenue Modeling  '!$E$7*'Other Modeling '!$E$5</f>
        <v>28611478.964759894</v>
      </c>
      <c r="F4" s="18">
        <f>'Revenue Modeling  '!F7*'Other Modeling '!F5</f>
        <v>33152686.648941129</v>
      </c>
      <c r="G4" s="18">
        <f>'Revenue Modeling  '!G7*'Other Modeling '!G5</f>
        <v>38418139.806249052</v>
      </c>
    </row>
    <row r="5" spans="1:7" x14ac:dyDescent="0.25">
      <c r="A5" s="1" t="s">
        <v>62</v>
      </c>
      <c r="B5" s="10">
        <f>B4/'Revenue Modeling  '!B7</f>
        <v>0.58462160446530476</v>
      </c>
      <c r="C5" s="10">
        <f>C4/'Revenue Modeling  '!C7</f>
        <v>0.53943443349582676</v>
      </c>
      <c r="D5" s="10">
        <f>D4/'Revenue Modeling  '!D7</f>
        <v>0.51513424197524049</v>
      </c>
      <c r="E5" s="25">
        <f>AVERAGE($B$5:$D$5)</f>
        <v>0.54639675997879067</v>
      </c>
      <c r="F5" s="25">
        <f t="shared" ref="F5:G5" si="0">AVERAGE($B$5:$D$5)</f>
        <v>0.54639675997879067</v>
      </c>
      <c r="G5" s="25">
        <f t="shared" si="0"/>
        <v>0.54639675997879067</v>
      </c>
    </row>
    <row r="7" spans="1:7" x14ac:dyDescent="0.25">
      <c r="A7" s="2" t="s">
        <v>4</v>
      </c>
      <c r="B7" s="12">
        <f>'P&amp;L Statement '!$B$6</f>
        <v>2657883</v>
      </c>
      <c r="C7" s="12">
        <f>'P&amp;L Statement '!$C$6</f>
        <v>2917554</v>
      </c>
      <c r="D7" s="12">
        <f>'P&amp;L Statement '!$D$6</f>
        <v>3301306</v>
      </c>
      <c r="E7" s="12">
        <f>E8*'Revenue Modeling  '!E7</f>
        <v>3956737.4991290914</v>
      </c>
      <c r="F7" s="12">
        <f>F8*'Revenue Modeling  '!F7</f>
        <v>4584750.0096834851</v>
      </c>
      <c r="G7" s="12">
        <f>G8*'Revenue Modeling  '!G7</f>
        <v>5312919.8461008435</v>
      </c>
    </row>
    <row r="8" spans="1:7" x14ac:dyDescent="0.25">
      <c r="A8" s="1" t="s">
        <v>63</v>
      </c>
      <c r="B8" s="23">
        <f>B7/'Revenue Modeling  '!B7</f>
        <v>7.8814446879259759E-2</v>
      </c>
      <c r="C8" s="23">
        <f>C7/'Revenue Modeling  '!C7</f>
        <v>7.4807224005682321E-2</v>
      </c>
      <c r="D8" s="23">
        <f>D7/'Revenue Modeling  '!D7</f>
        <v>7.3065165430671819E-2</v>
      </c>
      <c r="E8" s="24">
        <f>AVERAGE($B$8:$D$8)</f>
        <v>7.55622787718713E-2</v>
      </c>
      <c r="F8" s="24">
        <f t="shared" ref="F8:G8" si="1">AVERAGE($B$8:$D$8)</f>
        <v>7.55622787718713E-2</v>
      </c>
      <c r="G8" s="24">
        <f t="shared" si="1"/>
        <v>7.55622787718713E-2</v>
      </c>
    </row>
    <row r="10" spans="1:7" x14ac:dyDescent="0.25">
      <c r="A10" s="2" t="s">
        <v>5</v>
      </c>
      <c r="B10" s="12">
        <f>'P&amp;L Statement '!B7</f>
        <v>2675758</v>
      </c>
      <c r="C10" s="12">
        <f>'P&amp;L Statement '!C7</f>
        <v>2925295</v>
      </c>
      <c r="D10" s="12">
        <f>'P&amp;L Statement '!D7</f>
        <v>3391390</v>
      </c>
      <c r="E10" s="12">
        <f>E11*'Revenue Modeling  '!E7</f>
        <v>4004254.067561883</v>
      </c>
      <c r="F10" s="12">
        <f>F11*'Revenue Modeling  '!F7</f>
        <v>4639808.3974664295</v>
      </c>
      <c r="G10" s="12">
        <f>G11*'Revenue Modeling  '!G7</f>
        <v>5376722.8452891288</v>
      </c>
    </row>
    <row r="11" spans="1:7" x14ac:dyDescent="0.25">
      <c r="A11" s="1" t="s">
        <v>63</v>
      </c>
      <c r="B11" s="23">
        <f>B10/'Revenue Modeling  '!B7</f>
        <v>7.9344495883661673E-2</v>
      </c>
      <c r="C11" s="23">
        <f>C10/'Revenue Modeling  '!C7</f>
        <v>7.5005706268916519E-2</v>
      </c>
      <c r="D11" s="23">
        <f>D10/'Revenue Modeling  '!D7</f>
        <v>7.5058922556686988E-2</v>
      </c>
      <c r="E11" s="24">
        <f>AVERAGE($B$11:$D$11)</f>
        <v>7.6469708236421727E-2</v>
      </c>
      <c r="F11" s="24">
        <f t="shared" ref="F11:G11" si="2">AVERAGE($B$11:$D$11)</f>
        <v>7.6469708236421727E-2</v>
      </c>
      <c r="G11" s="24">
        <f t="shared" si="2"/>
        <v>7.6469708236421727E-2</v>
      </c>
    </row>
    <row r="13" spans="1:7" x14ac:dyDescent="0.25">
      <c r="A13" s="2" t="s">
        <v>6</v>
      </c>
      <c r="B13" s="12">
        <f>'P&amp;L Statement '!B8</f>
        <v>1720285</v>
      </c>
      <c r="C13" s="12">
        <f>'P&amp;L Statement '!C8</f>
        <v>1702039</v>
      </c>
      <c r="D13" s="12">
        <f>'P&amp;L Statement '!D8</f>
        <v>1888408</v>
      </c>
      <c r="E13" s="12">
        <f>E14*'Revenue Modeling  '!E7</f>
        <v>2381639.3669456104</v>
      </c>
      <c r="F13" s="12">
        <f>F14*'Revenue Modeling  '!F7</f>
        <v>2759652.6464214171</v>
      </c>
      <c r="G13" s="12">
        <f>G14*'Revenue Modeling  '!G7</f>
        <v>3197952.6217459482</v>
      </c>
    </row>
    <row r="14" spans="1:7" x14ac:dyDescent="0.25">
      <c r="A14" s="1" t="s">
        <v>63</v>
      </c>
      <c r="B14" s="23">
        <f>B13/'Revenue Modeling  '!B7</f>
        <v>5.1011767918184278E-2</v>
      </c>
      <c r="C14" s="23">
        <f>C13/'Revenue Modeling  '!C7</f>
        <v>4.3640944688395668E-2</v>
      </c>
      <c r="D14" s="23">
        <f>D13/'Revenue Modeling  '!D7</f>
        <v>4.1794623982328236E-2</v>
      </c>
      <c r="E14" s="24">
        <f>AVERAGE($B$14:$D$14)</f>
        <v>4.5482445529636061E-2</v>
      </c>
      <c r="F14" s="24">
        <f t="shared" ref="F14:G14" si="3">AVERAGE($B$14:$D$14)</f>
        <v>4.5482445529636061E-2</v>
      </c>
      <c r="G14" s="24">
        <f t="shared" si="3"/>
        <v>4.5482445529636061E-2</v>
      </c>
    </row>
    <row r="17" spans="1:7" x14ac:dyDescent="0.25">
      <c r="A17" t="s">
        <v>65</v>
      </c>
      <c r="B17" s="12">
        <f>'Balance Sheet Input '!B6</f>
        <v>2780247</v>
      </c>
      <c r="C17" s="12">
        <f>'Balance Sheet Input '!C6</f>
        <v>3516640</v>
      </c>
      <c r="D17" s="12">
        <f>'Balance Sheet Input '!D6</f>
        <v>3957832</v>
      </c>
      <c r="E17" s="12">
        <f>E18*'Revenue Modeling  '!E7</f>
        <v>4586845.7809414798</v>
      </c>
      <c r="F17" s="12">
        <f>F18*'Revenue Modeling  '!F7</f>
        <v>5314868.940185409</v>
      </c>
      <c r="G17" s="12">
        <f>G18*'Revenue Modeling  '!G7</f>
        <v>6158999.4246350275</v>
      </c>
    </row>
    <row r="18" spans="1:7" x14ac:dyDescent="0.25">
      <c r="A18" s="1" t="s">
        <v>63</v>
      </c>
      <c r="B18" s="10">
        <f>B17/'Revenue Modeling  '!B7</f>
        <v>8.2442917725393222E-2</v>
      </c>
      <c r="C18" s="10">
        <f>C17/'Revenue Modeling  '!C7</f>
        <v>9.0168023017686283E-2</v>
      </c>
      <c r="D18" s="10">
        <f>D17/'Revenue Modeling  '!D7</f>
        <v>8.7595530322486514E-2</v>
      </c>
      <c r="E18" s="33">
        <v>8.7595530322486514E-2</v>
      </c>
      <c r="F18" s="33">
        <v>8.7595530322486514E-2</v>
      </c>
      <c r="G18" s="33">
        <v>8.7595530322486514E-2</v>
      </c>
    </row>
    <row r="20" spans="1:7" x14ac:dyDescent="0.25">
      <c r="A20" t="s">
        <v>68</v>
      </c>
      <c r="B20" s="12">
        <f>'Balance Sheet Input '!B15</f>
        <v>747412</v>
      </c>
      <c r="C20" s="12">
        <f>'Balance Sheet Input '!C15</f>
        <v>899909</v>
      </c>
      <c r="D20" s="18">
        <f>'Balance Sheet Input '!D15</f>
        <v>900612</v>
      </c>
      <c r="E20" s="12">
        <f>E21*E4/365</f>
        <v>1107088.165903491</v>
      </c>
      <c r="F20" s="12">
        <f t="shared" ref="F20:G20" si="4">F21*F4/365</f>
        <v>1282804.9574842171</v>
      </c>
      <c r="G20" s="12">
        <f t="shared" si="4"/>
        <v>1486545.5919950935</v>
      </c>
    </row>
    <row r="21" spans="1:7" x14ac:dyDescent="0.25">
      <c r="A21" t="s">
        <v>69</v>
      </c>
      <c r="B21" s="31">
        <f>B20/B4*365</f>
        <v>13.837194416051478</v>
      </c>
      <c r="C21" s="31">
        <f t="shared" ref="C21" si="5">C20/C4*365</f>
        <v>15.612678995957118</v>
      </c>
      <c r="D21" s="31">
        <f>D20/D4*365</f>
        <v>14.123253853898262</v>
      </c>
      <c r="E21" s="34">
        <f>D21</f>
        <v>14.123253853898262</v>
      </c>
      <c r="F21" s="34">
        <f t="shared" ref="F21:G21" si="6">E21</f>
        <v>14.123253853898262</v>
      </c>
      <c r="G21" s="34">
        <f t="shared" si="6"/>
        <v>14.123253853898262</v>
      </c>
    </row>
    <row r="23" spans="1:7" x14ac:dyDescent="0.25">
      <c r="A23" t="str">
        <f>'Balance Sheet Input '!A16</f>
        <v>Accrued expenses and other liabilities</v>
      </c>
      <c r="B23" s="12">
        <f>'Balance Sheet Input '!B16</f>
        <v>1803960</v>
      </c>
      <c r="C23" s="12">
        <f>'Balance Sheet Input '!C16</f>
        <v>2156544</v>
      </c>
      <c r="D23" s="12">
        <f>'Balance Sheet Input '!D16</f>
        <v>3220869</v>
      </c>
      <c r="E23" s="12">
        <f>E24*'Revenue Modeling  '!E7</f>
        <v>3143101.6315498282</v>
      </c>
      <c r="F23" s="12">
        <f>F24*'Revenue Modeling  '!F7</f>
        <v>3774067.5872790609</v>
      </c>
      <c r="G23" s="12">
        <f>G24*'Revenue Modeling  '!G7</f>
        <v>4535353.4432404479</v>
      </c>
    </row>
    <row r="24" spans="1:7" x14ac:dyDescent="0.25">
      <c r="A24" s="1" t="s">
        <v>63</v>
      </c>
      <c r="B24" s="10">
        <f>'Other Modeling '!B23/'Revenue Modeling  '!B7</f>
        <v>5.3492990320608329E-2</v>
      </c>
      <c r="C24" s="10">
        <f>'Other Modeling '!C23/'Revenue Modeling  '!C7</f>
        <v>5.5294630394539461E-2</v>
      </c>
      <c r="D24" s="10">
        <f>'Other Modeling '!D23/'Revenue Modeling  '!D7</f>
        <v>7.1284917640328557E-2</v>
      </c>
      <c r="E24" s="25">
        <f>AVERAGE(B24:D24)</f>
        <v>6.0024179451825449E-2</v>
      </c>
      <c r="F24" s="25">
        <f t="shared" ref="F24:G24" si="7">AVERAGE(C24:E24)</f>
        <v>6.2201242495564489E-2</v>
      </c>
      <c r="G24" s="25">
        <f t="shared" si="7"/>
        <v>6.4503446529239492E-2</v>
      </c>
    </row>
    <row r="26" spans="1:7" x14ac:dyDescent="0.25">
      <c r="A26" t="str">
        <f>'Balance Sheet Input '!A17</f>
        <v>Deferred revenue</v>
      </c>
      <c r="B26" s="12">
        <f>'Balance Sheet Input '!B17</f>
        <v>1442969</v>
      </c>
      <c r="C26" s="12">
        <f>'Balance Sheet Input '!C17</f>
        <v>1520813</v>
      </c>
      <c r="D26" s="12">
        <f>'Balance Sheet Input '!D17</f>
        <v>1775730</v>
      </c>
      <c r="E26" s="12">
        <f>E27*'Revenue Modeling  '!E7</f>
        <v>2113469.8461997095</v>
      </c>
      <c r="F26" s="12">
        <f>F27*'Revenue Modeling  '!F7</f>
        <v>2399826.8702429142</v>
      </c>
      <c r="G26" s="12">
        <f>G27*'Revenue Modeling  '!G7</f>
        <v>2794051.958344121</v>
      </c>
    </row>
    <row r="27" spans="1:7" x14ac:dyDescent="0.25">
      <c r="A27" s="1" t="s">
        <v>63</v>
      </c>
      <c r="B27" s="10">
        <f>B26/'Revenue Modeling  '!B7</f>
        <v>4.278849129134675E-2</v>
      </c>
      <c r="C27" s="10">
        <f>C26/'Revenue Modeling  '!C7</f>
        <v>3.899423927089396E-2</v>
      </c>
      <c r="D27" s="10">
        <f>D26/'Revenue Modeling  '!D7</f>
        <v>3.9300811924192082E-2</v>
      </c>
      <c r="E27" s="25">
        <f>AVERAGE(B27:D27)</f>
        <v>4.0361180828810933E-2</v>
      </c>
      <c r="F27" s="25">
        <f t="shared" ref="F27:G27" si="8">AVERAGE(C27:E27)</f>
        <v>3.9552077341298987E-2</v>
      </c>
      <c r="G27" s="25">
        <f t="shared" si="8"/>
        <v>3.9738023364767332E-2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205A-87A2-448C-A1F6-F3280CFD9087}">
  <dimension ref="A1:L26"/>
  <sheetViews>
    <sheetView topLeftCell="A11" zoomScale="103" zoomScaleNormal="88" workbookViewId="0">
      <selection activeCell="I26" sqref="I26"/>
    </sheetView>
  </sheetViews>
  <sheetFormatPr defaultRowHeight="15" x14ac:dyDescent="0.25"/>
  <cols>
    <col min="1" max="1" width="17.42578125" bestFit="1" customWidth="1"/>
    <col min="2" max="2" width="17.28515625" bestFit="1" customWidth="1"/>
    <col min="3" max="6" width="18.28515625" bestFit="1" customWidth="1"/>
    <col min="7" max="7" width="18" bestFit="1" customWidth="1"/>
    <col min="9" max="9" width="12" bestFit="1" customWidth="1"/>
  </cols>
  <sheetData>
    <row r="1" spans="1:12" ht="26.25" x14ac:dyDescent="0.4">
      <c r="A1" s="39" t="s">
        <v>79</v>
      </c>
    </row>
    <row r="2" spans="1:12" ht="15.75" x14ac:dyDescent="0.25">
      <c r="A2" t="s">
        <v>70</v>
      </c>
      <c r="B2" s="20" t="s">
        <v>52</v>
      </c>
      <c r="C2" s="20" t="s">
        <v>51</v>
      </c>
      <c r="D2" s="20" t="s">
        <v>50</v>
      </c>
      <c r="E2" s="21" t="s">
        <v>53</v>
      </c>
      <c r="F2" s="21" t="s">
        <v>54</v>
      </c>
      <c r="G2" s="21" t="s">
        <v>55</v>
      </c>
    </row>
    <row r="3" spans="1:12" x14ac:dyDescent="0.25">
      <c r="A3" t="s">
        <v>71</v>
      </c>
      <c r="C3" s="29">
        <f>B6</f>
        <v>1491444</v>
      </c>
      <c r="D3" s="29">
        <f>C6</f>
        <v>1593756</v>
      </c>
      <c r="E3" s="12">
        <f>D6</f>
        <v>2004350</v>
      </c>
      <c r="F3" s="12">
        <f>E6</f>
        <v>2320828.2624001051</v>
      </c>
      <c r="G3" s="12">
        <f>F6</f>
        <v>2622480.5489350911</v>
      </c>
    </row>
    <row r="4" spans="1:12" x14ac:dyDescent="0.25">
      <c r="A4" t="s">
        <v>72</v>
      </c>
      <c r="C4" s="29">
        <f>SUM(C5:C6)-C3</f>
        <v>431226</v>
      </c>
      <c r="D4" s="29">
        <f>SUM(D5:D6)-D3</f>
        <v>743983</v>
      </c>
      <c r="E4" s="37">
        <f>$D$4</f>
        <v>743983</v>
      </c>
      <c r="F4" s="37">
        <f t="shared" ref="F4:G4" si="0">$D$4</f>
        <v>743983</v>
      </c>
      <c r="G4" s="37">
        <f t="shared" si="0"/>
        <v>743983</v>
      </c>
      <c r="I4" t="s">
        <v>84</v>
      </c>
      <c r="J4" t="s">
        <v>83</v>
      </c>
    </row>
    <row r="5" spans="1:12" x14ac:dyDescent="0.25">
      <c r="A5" t="s">
        <v>73</v>
      </c>
      <c r="B5" s="3">
        <v>356947</v>
      </c>
      <c r="C5" s="35">
        <v>328914</v>
      </c>
      <c r="D5" s="29">
        <v>333389</v>
      </c>
      <c r="E5" s="29">
        <f>(E3+E4)/E8</f>
        <v>427504.73759989499</v>
      </c>
      <c r="F5" s="29">
        <f t="shared" ref="F5:G5" si="1">(F3+F4)/F8</f>
        <v>442330.71346501395</v>
      </c>
      <c r="G5" s="29">
        <f t="shared" si="1"/>
        <v>453165.19137238775</v>
      </c>
    </row>
    <row r="6" spans="1:12" x14ac:dyDescent="0.25">
      <c r="A6" t="s">
        <v>74</v>
      </c>
      <c r="B6" s="29">
        <f>'Balance Sheet Input '!B9</f>
        <v>1491444</v>
      </c>
      <c r="C6" s="29">
        <f>'Balance Sheet Input '!C9</f>
        <v>1593756</v>
      </c>
      <c r="D6" s="12">
        <f>'Balance Sheet Input '!D9</f>
        <v>2004350</v>
      </c>
      <c r="E6" s="12">
        <f>(E3+E4)-E5</f>
        <v>2320828.2624001051</v>
      </c>
      <c r="F6" s="12">
        <f t="shared" ref="F6:G6" si="2">(F3+F4)-F5</f>
        <v>2622480.5489350911</v>
      </c>
      <c r="G6" s="12">
        <f t="shared" si="2"/>
        <v>2913298.3575627035</v>
      </c>
    </row>
    <row r="8" spans="1:12" x14ac:dyDescent="0.25">
      <c r="A8" s="36" t="s">
        <v>80</v>
      </c>
      <c r="C8" s="31">
        <f>(C3+C4)/C5</f>
        <v>5.8455097685109179</v>
      </c>
      <c r="D8" s="31">
        <f>(D3+D4)/D5</f>
        <v>7.0120459883199509</v>
      </c>
      <c r="E8" s="38">
        <f>AVERAGE(C8:D8)</f>
        <v>6.4287778784154348</v>
      </c>
      <c r="F8" s="38">
        <f>E8+0.5</f>
        <v>6.9287778784154348</v>
      </c>
      <c r="G8" s="38">
        <f>F8+0.5</f>
        <v>7.4287778784154348</v>
      </c>
      <c r="K8" t="s">
        <v>81</v>
      </c>
    </row>
    <row r="9" spans="1:12" x14ac:dyDescent="0.25">
      <c r="L9" t="s">
        <v>82</v>
      </c>
    </row>
    <row r="10" spans="1:12" x14ac:dyDescent="0.25">
      <c r="A10" s="5" t="s">
        <v>85</v>
      </c>
    </row>
    <row r="11" spans="1:12" x14ac:dyDescent="0.25">
      <c r="A11" t="s">
        <v>71</v>
      </c>
      <c r="C11" s="12">
        <f>B14</f>
        <v>31658056</v>
      </c>
      <c r="D11" s="12">
        <f>C14</f>
        <v>32452462</v>
      </c>
      <c r="E11" s="12">
        <f>D14</f>
        <v>32778392</v>
      </c>
      <c r="F11" s="12">
        <f>E14</f>
        <v>33333027.281737186</v>
      </c>
      <c r="G11" s="12">
        <f>F14</f>
        <v>33706315.873844899</v>
      </c>
    </row>
    <row r="12" spans="1:12" x14ac:dyDescent="0.25">
      <c r="A12" t="s">
        <v>87</v>
      </c>
      <c r="C12" s="12">
        <f>SUM(C13:C14)-C11</f>
        <v>16095923</v>
      </c>
      <c r="D12" s="12">
        <f>SUM(D13:D14)-D11</f>
        <v>16748096</v>
      </c>
      <c r="E12" s="29">
        <f>$D$12</f>
        <v>16748096</v>
      </c>
      <c r="F12" s="29">
        <f t="shared" ref="F12:G12" si="3">$D$12</f>
        <v>16748096</v>
      </c>
      <c r="G12" s="29">
        <f t="shared" si="3"/>
        <v>16748096</v>
      </c>
    </row>
    <row r="13" spans="1:12" x14ac:dyDescent="0.25">
      <c r="A13" t="s">
        <v>86</v>
      </c>
      <c r="C13" s="12">
        <v>15301517</v>
      </c>
      <c r="D13" s="12">
        <v>16422166</v>
      </c>
      <c r="E13" s="29">
        <f>(E11+E12)/E16</f>
        <v>16193460.718262816</v>
      </c>
      <c r="F13" s="29">
        <f t="shared" ref="F13:G13" si="4">(F11+F12)/F16</f>
        <v>16374807.407892287</v>
      </c>
      <c r="G13" s="29">
        <f t="shared" si="4"/>
        <v>16496859.957890823</v>
      </c>
    </row>
    <row r="14" spans="1:12" x14ac:dyDescent="0.25">
      <c r="A14" t="s">
        <v>74</v>
      </c>
      <c r="B14" s="29">
        <f>'Balance Sheet Input '!B8</f>
        <v>31658056</v>
      </c>
      <c r="C14" s="12">
        <f>'Balance Sheet Input '!C8</f>
        <v>32452462</v>
      </c>
      <c r="D14" s="12">
        <f>'Balance Sheet Input '!D8</f>
        <v>32778392</v>
      </c>
      <c r="E14" s="12">
        <f>(E11+E12)-E13</f>
        <v>33333027.281737186</v>
      </c>
      <c r="F14" s="12">
        <f t="shared" ref="F14:G14" si="5">(F11+F12)-F13</f>
        <v>33706315.873844899</v>
      </c>
      <c r="G14" s="12">
        <f t="shared" si="5"/>
        <v>33957551.915954076</v>
      </c>
    </row>
    <row r="16" spans="1:12" x14ac:dyDescent="0.25">
      <c r="A16" s="36" t="s">
        <v>88</v>
      </c>
      <c r="C16" s="31">
        <f>(C11+C12)/C13</f>
        <v>3.1208656631888196</v>
      </c>
      <c r="D16" s="31">
        <f>(D11+D12)/D13</f>
        <v>2.9959846953197284</v>
      </c>
      <c r="E16" s="38">
        <f>AVERAGE(C16:D16)</f>
        <v>3.0584251792542743</v>
      </c>
      <c r="F16" s="38">
        <f>E16</f>
        <v>3.0584251792542743</v>
      </c>
      <c r="G16" s="38">
        <f>F16</f>
        <v>3.0584251792542743</v>
      </c>
    </row>
    <row r="19" spans="1:7" x14ac:dyDescent="0.25">
      <c r="A19" s="5" t="s">
        <v>89</v>
      </c>
    </row>
    <row r="20" spans="1:7" x14ac:dyDescent="0.25">
      <c r="A20" t="s">
        <v>71</v>
      </c>
      <c r="C20" s="12">
        <f>B23</f>
        <v>14143417</v>
      </c>
      <c r="D20" s="12">
        <f>C23</f>
        <v>13798351</v>
      </c>
      <c r="E20" s="12">
        <f>D23</f>
        <v>13463971</v>
      </c>
      <c r="F20" s="12">
        <f t="shared" ref="F20:G20" si="6">E23</f>
        <v>13462965</v>
      </c>
      <c r="G20" s="12">
        <f t="shared" si="6"/>
        <v>13461415</v>
      </c>
    </row>
    <row r="21" spans="1:7" x14ac:dyDescent="0.25">
      <c r="A21" t="s">
        <v>90</v>
      </c>
      <c r="C21">
        <v>0</v>
      </c>
      <c r="D21">
        <v>0</v>
      </c>
    </row>
    <row r="22" spans="1:7" x14ac:dyDescent="0.25">
      <c r="A22" t="s">
        <v>91</v>
      </c>
      <c r="C22" s="12">
        <f>C23-C20</f>
        <v>-345066</v>
      </c>
      <c r="D22" s="12">
        <f>D23-D20</f>
        <v>-334380</v>
      </c>
      <c r="E22" s="12">
        <v>-1006</v>
      </c>
      <c r="F22" s="12">
        <v>-1550</v>
      </c>
      <c r="G22" s="12">
        <f>-SUM(1634 + 1998)</f>
        <v>-3632</v>
      </c>
    </row>
    <row r="23" spans="1:7" x14ac:dyDescent="0.25">
      <c r="A23" t="s">
        <v>74</v>
      </c>
      <c r="B23" s="12">
        <f>'Balance Sheet Input '!B21</f>
        <v>14143417</v>
      </c>
      <c r="C23" s="12">
        <f>'Balance Sheet Input '!C21</f>
        <v>13798351</v>
      </c>
      <c r="D23" s="12">
        <f>'Balance Sheet Input '!D21</f>
        <v>13463971</v>
      </c>
      <c r="E23" s="12">
        <f>SUM(E20,E22)</f>
        <v>13462965</v>
      </c>
      <c r="F23" s="12">
        <f t="shared" ref="F23:G23" si="7">SUM(F20,F22)</f>
        <v>13461415</v>
      </c>
      <c r="G23" s="12">
        <f t="shared" si="7"/>
        <v>13457783</v>
      </c>
    </row>
    <row r="25" spans="1:7" x14ac:dyDescent="0.25">
      <c r="A25" t="s">
        <v>9</v>
      </c>
      <c r="B25" s="12">
        <f>'P&amp;L Statement '!B11</f>
        <v>-699826</v>
      </c>
      <c r="C25" s="12">
        <f>'P&amp;L Statement '!C11</f>
        <v>-718733</v>
      </c>
      <c r="D25" s="12">
        <f>'P&amp;L Statement '!D11</f>
        <v>-776510</v>
      </c>
      <c r="E25" s="12">
        <f>E23*E26</f>
        <v>-714624.01755910716</v>
      </c>
      <c r="F25" s="12">
        <f t="shared" ref="F25" si="8">F23*F26</f>
        <v>-714541.74242675572</v>
      </c>
      <c r="G25" s="12">
        <f>G23*G26</f>
        <v>-714348.95321340079</v>
      </c>
    </row>
    <row r="26" spans="1:7" x14ac:dyDescent="0.25">
      <c r="A26" s="40" t="s">
        <v>92</v>
      </c>
      <c r="B26" s="41">
        <f>B25/B23</f>
        <v>-4.9480687729139286E-2</v>
      </c>
      <c r="C26" s="41">
        <f>C25/C23</f>
        <v>-5.2088325626736119E-2</v>
      </c>
      <c r="D26" s="41">
        <f>D25/D23</f>
        <v>-5.7673178291902147E-2</v>
      </c>
      <c r="E26" s="42">
        <f>AVERAGE($B$26:$D$26)</f>
        <v>-5.3080730549259179E-2</v>
      </c>
      <c r="F26" s="42">
        <f t="shared" ref="F26:G26" si="9">AVERAGE($B$26:$D$26)</f>
        <v>-5.3080730549259179E-2</v>
      </c>
      <c r="G26" s="42">
        <f t="shared" si="9"/>
        <v>-5.3080730549259179E-2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6AD1-210C-4AEF-B1BE-DC1E0CA2150D}">
  <dimension ref="A1:G23"/>
  <sheetViews>
    <sheetView topLeftCell="A8" workbookViewId="0">
      <selection activeCell="F26" sqref="F26"/>
    </sheetView>
  </sheetViews>
  <sheetFormatPr defaultRowHeight="15" x14ac:dyDescent="0.25"/>
  <cols>
    <col min="1" max="1" width="51.85546875" bestFit="1" customWidth="1"/>
    <col min="2" max="6" width="15.5703125" bestFit="1" customWidth="1"/>
    <col min="7" max="7" width="16.5703125" bestFit="1" customWidth="1"/>
  </cols>
  <sheetData>
    <row r="1" spans="1:7" ht="26.25" x14ac:dyDescent="0.4">
      <c r="A1" s="4" t="s">
        <v>0</v>
      </c>
    </row>
    <row r="2" spans="1:7" x14ac:dyDescent="0.25">
      <c r="A2" t="s">
        <v>1</v>
      </c>
    </row>
    <row r="3" spans="1:7" x14ac:dyDescent="0.25">
      <c r="A3" s="5"/>
      <c r="B3" s="5" t="s">
        <v>52</v>
      </c>
      <c r="C3" s="5" t="s">
        <v>51</v>
      </c>
      <c r="D3" s="5" t="s">
        <v>50</v>
      </c>
      <c r="E3" s="22" t="s">
        <v>53</v>
      </c>
      <c r="F3" s="22" t="s">
        <v>54</v>
      </c>
      <c r="G3" s="22" t="s">
        <v>55</v>
      </c>
    </row>
    <row r="5" spans="1:7" x14ac:dyDescent="0.25">
      <c r="A5" s="70" t="s">
        <v>93</v>
      </c>
      <c r="B5" s="71">
        <f>'Revenue Modeling  '!B4</f>
        <v>33640458</v>
      </c>
      <c r="C5" s="71">
        <f>'Revenue Modeling  '!C4</f>
        <v>39000966</v>
      </c>
      <c r="D5" s="71">
        <f>'Revenue Modeling  '!D4</f>
        <v>45183036</v>
      </c>
      <c r="E5" s="71">
        <f>'Revenue Modeling  '!E4</f>
        <v>52363925.009127975</v>
      </c>
      <c r="F5" s="71">
        <f>'Revenue Modeling  '!F4</f>
        <v>60675115.734998152</v>
      </c>
      <c r="G5" s="72">
        <f>'Revenue Modeling  '!G4</f>
        <v>70311800.179306179</v>
      </c>
    </row>
    <row r="6" spans="1:7" x14ac:dyDescent="0.25">
      <c r="A6" s="74" t="s">
        <v>108</v>
      </c>
      <c r="B6" s="12">
        <f>'Revenue Modeling  '!B5</f>
        <v>82839</v>
      </c>
      <c r="C6" s="12">
        <f>'Revenue Modeling  '!C5</f>
        <v>0</v>
      </c>
      <c r="D6" s="12">
        <f>'Revenue Modeling  '!D5</f>
        <v>0</v>
      </c>
      <c r="E6" s="12">
        <f>'Revenue Modeling  '!E5</f>
        <v>0</v>
      </c>
      <c r="F6" s="12">
        <f>'Revenue Modeling  '!F5</f>
        <v>0</v>
      </c>
      <c r="G6" s="12">
        <f>'Revenue Modeling  '!G5</f>
        <v>0</v>
      </c>
    </row>
    <row r="7" spans="1:7" x14ac:dyDescent="0.25">
      <c r="A7" s="73" t="s">
        <v>94</v>
      </c>
      <c r="B7" s="26">
        <f>SUM(B5:B6)</f>
        <v>33723297</v>
      </c>
      <c r="C7" s="26">
        <f t="shared" ref="C7:G7" si="0">SUM(C5:C6)</f>
        <v>39000966</v>
      </c>
      <c r="D7" s="26">
        <f t="shared" si="0"/>
        <v>45183036</v>
      </c>
      <c r="E7" s="26">
        <f t="shared" si="0"/>
        <v>52363925.009127975</v>
      </c>
      <c r="F7" s="26">
        <f t="shared" si="0"/>
        <v>60675115.734998152</v>
      </c>
      <c r="G7" s="26">
        <f t="shared" si="0"/>
        <v>70311800.179306179</v>
      </c>
    </row>
    <row r="8" spans="1:7" x14ac:dyDescent="0.25">
      <c r="A8" s="81" t="s">
        <v>2</v>
      </c>
      <c r="B8" s="12">
        <f>B7</f>
        <v>33723297</v>
      </c>
      <c r="C8" s="12">
        <f t="shared" ref="C8:G8" si="1">C7</f>
        <v>39000966</v>
      </c>
      <c r="D8" s="12">
        <f t="shared" si="1"/>
        <v>45183036</v>
      </c>
      <c r="E8" s="12">
        <f t="shared" si="1"/>
        <v>52363925.009127975</v>
      </c>
      <c r="F8" s="12">
        <f t="shared" si="1"/>
        <v>60675115.734998152</v>
      </c>
      <c r="G8" s="75">
        <f t="shared" si="1"/>
        <v>70311800.179306179</v>
      </c>
    </row>
    <row r="9" spans="1:7" x14ac:dyDescent="0.25">
      <c r="A9" s="76" t="s">
        <v>95</v>
      </c>
      <c r="B9" s="26">
        <f>'Other Modeling '!B4-B16</f>
        <v>19358421</v>
      </c>
      <c r="C9" s="26">
        <f>'Other Modeling '!C4-C16</f>
        <v>20709550</v>
      </c>
      <c r="D9" s="26">
        <f>'Other Modeling '!D4-D16</f>
        <v>22941940</v>
      </c>
      <c r="E9" s="26">
        <f>'Other Modeling '!E4-E16</f>
        <v>28183974.227159999</v>
      </c>
      <c r="F9" s="26">
        <f>'Other Modeling '!F4-F16</f>
        <v>32710355.935476117</v>
      </c>
      <c r="G9" s="26">
        <f>'Other Modeling '!G4-G16</f>
        <v>37964974.614876665</v>
      </c>
    </row>
    <row r="10" spans="1:7" x14ac:dyDescent="0.25">
      <c r="A10" s="77" t="s">
        <v>96</v>
      </c>
      <c r="B10" s="12">
        <f>B8-B9</f>
        <v>14364876</v>
      </c>
      <c r="C10" s="12">
        <f t="shared" ref="C10:G10" si="2">C8-C9</f>
        <v>18291416</v>
      </c>
      <c r="D10" s="12">
        <f t="shared" si="2"/>
        <v>22241096</v>
      </c>
      <c r="E10" s="12">
        <f t="shared" si="2"/>
        <v>24179950.781967975</v>
      </c>
      <c r="F10" s="12">
        <f t="shared" si="2"/>
        <v>27964759.799522035</v>
      </c>
      <c r="G10" s="75">
        <f t="shared" si="2"/>
        <v>32346825.564429514</v>
      </c>
    </row>
    <row r="11" spans="1:7" x14ac:dyDescent="0.25">
      <c r="A11" s="78" t="s">
        <v>107</v>
      </c>
      <c r="G11" s="79"/>
    </row>
    <row r="12" spans="1:7" x14ac:dyDescent="0.25">
      <c r="A12" s="80" t="s">
        <v>104</v>
      </c>
      <c r="B12" s="12">
        <f>'Other Modeling '!B7</f>
        <v>2657883</v>
      </c>
      <c r="C12" s="12">
        <f>'Other Modeling '!C7</f>
        <v>2917554</v>
      </c>
      <c r="D12" s="12">
        <f>'Other Modeling '!D7</f>
        <v>3301306</v>
      </c>
      <c r="E12" s="12">
        <f>'Other Modeling '!E7</f>
        <v>3956737.4991290914</v>
      </c>
      <c r="F12" s="12">
        <f>'Other Modeling '!F7</f>
        <v>4584750.0096834851</v>
      </c>
      <c r="G12" s="75">
        <f>'Other Modeling '!G7</f>
        <v>5312919.8461008435</v>
      </c>
    </row>
    <row r="13" spans="1:7" x14ac:dyDescent="0.25">
      <c r="A13" s="80" t="s">
        <v>5</v>
      </c>
      <c r="B13" s="12">
        <f>'Other Modeling '!B10</f>
        <v>2675758</v>
      </c>
      <c r="C13" s="12">
        <f>'Other Modeling '!C10</f>
        <v>2925295</v>
      </c>
      <c r="D13" s="12">
        <f>'Other Modeling '!D10</f>
        <v>3391390</v>
      </c>
      <c r="E13" s="12">
        <f>'Other Modeling '!E10</f>
        <v>4004254.067561883</v>
      </c>
      <c r="F13" s="12">
        <f>'Other Modeling '!F10</f>
        <v>4639808.3974664295</v>
      </c>
      <c r="G13" s="75">
        <f>'Other Modeling '!G10</f>
        <v>5376722.8452891288</v>
      </c>
    </row>
    <row r="14" spans="1:7" x14ac:dyDescent="0.25">
      <c r="A14" s="80" t="s">
        <v>6</v>
      </c>
      <c r="B14" s="12">
        <f>'Other Modeling '!B13</f>
        <v>1720285</v>
      </c>
      <c r="C14" s="12">
        <f>'Other Modeling '!C13</f>
        <v>1702039</v>
      </c>
      <c r="D14" s="12">
        <f>'Other Modeling '!D13</f>
        <v>1888408</v>
      </c>
      <c r="E14" s="12">
        <f>'Other Modeling '!E13</f>
        <v>2381639.3669456104</v>
      </c>
      <c r="F14" s="12">
        <f>'Other Modeling '!F13</f>
        <v>2759652.6464214171</v>
      </c>
      <c r="G14" s="75">
        <f>'Other Modeling '!G13</f>
        <v>3197952.6217459482</v>
      </c>
    </row>
    <row r="15" spans="1:7" x14ac:dyDescent="0.25">
      <c r="A15" s="68" t="s">
        <v>97</v>
      </c>
      <c r="B15" s="45">
        <f>B10-(B12+B13+B14)</f>
        <v>7310950</v>
      </c>
      <c r="C15" s="45">
        <f t="shared" ref="C15:G15" si="3">C10-(C12+C13+C14)</f>
        <v>10746528</v>
      </c>
      <c r="D15" s="45">
        <f t="shared" si="3"/>
        <v>13659992</v>
      </c>
      <c r="E15" s="45">
        <f t="shared" si="3"/>
        <v>13837319.848331392</v>
      </c>
      <c r="F15" s="45">
        <f t="shared" si="3"/>
        <v>15980548.745950703</v>
      </c>
      <c r="G15" s="46">
        <f t="shared" si="3"/>
        <v>18459230.251293592</v>
      </c>
    </row>
    <row r="16" spans="1:7" x14ac:dyDescent="0.25">
      <c r="A16" s="80" t="s">
        <v>98</v>
      </c>
      <c r="B16" s="12">
        <f>Schedules!B5</f>
        <v>356947</v>
      </c>
      <c r="C16" s="12">
        <f>Schedules!C5</f>
        <v>328914</v>
      </c>
      <c r="D16" s="12">
        <f>Schedules!D5</f>
        <v>333389</v>
      </c>
      <c r="E16" s="12">
        <f>Schedules!E5</f>
        <v>427504.73759989499</v>
      </c>
      <c r="F16" s="12">
        <f>Schedules!F5</f>
        <v>442330.71346501395</v>
      </c>
      <c r="G16" s="12">
        <f>Schedules!G5</f>
        <v>453165.19137238775</v>
      </c>
    </row>
    <row r="17" spans="1:7" x14ac:dyDescent="0.25">
      <c r="A17" s="68" t="s">
        <v>99</v>
      </c>
      <c r="B17" s="45">
        <f>B15-B16</f>
        <v>6954003</v>
      </c>
      <c r="C17" s="45">
        <f t="shared" ref="C17:G17" si="4">C15-C16</f>
        <v>10417614</v>
      </c>
      <c r="D17" s="45">
        <f t="shared" si="4"/>
        <v>13326603</v>
      </c>
      <c r="E17" s="45">
        <f t="shared" si="4"/>
        <v>13409815.110731497</v>
      </c>
      <c r="F17" s="45">
        <f t="shared" si="4"/>
        <v>15538218.032485688</v>
      </c>
      <c r="G17" s="46">
        <f t="shared" si="4"/>
        <v>18006065.059921205</v>
      </c>
    </row>
    <row r="18" spans="1:7" x14ac:dyDescent="0.25">
      <c r="A18" s="80" t="s">
        <v>9</v>
      </c>
      <c r="B18" s="12">
        <f>Schedules!B25</f>
        <v>-699826</v>
      </c>
      <c r="C18" s="12">
        <f>Schedules!C25</f>
        <v>-718733</v>
      </c>
      <c r="D18" s="12">
        <f>Schedules!D25</f>
        <v>-776510</v>
      </c>
      <c r="E18" s="12">
        <f>Schedules!E25</f>
        <v>-714624.01755910716</v>
      </c>
      <c r="F18" s="12">
        <f>Schedules!F25</f>
        <v>-714541.74242675572</v>
      </c>
      <c r="G18" s="75">
        <f>Schedules!G25</f>
        <v>-714348.95321340079</v>
      </c>
    </row>
    <row r="19" spans="1:7" x14ac:dyDescent="0.25">
      <c r="A19" s="80" t="s">
        <v>10</v>
      </c>
      <c r="B19" s="12">
        <f>'P&amp;L Statement '!B12</f>
        <v>-48772</v>
      </c>
      <c r="C19" s="12">
        <f>'P&amp;L Statement '!C12</f>
        <v>266776</v>
      </c>
      <c r="D19" s="12">
        <f>'P&amp;L Statement '!D12</f>
        <v>172459</v>
      </c>
      <c r="E19" s="12" t="s">
        <v>105</v>
      </c>
      <c r="F19" s="12" t="s">
        <v>105</v>
      </c>
      <c r="G19" s="75" t="s">
        <v>105</v>
      </c>
    </row>
    <row r="20" spans="1:7" x14ac:dyDescent="0.25">
      <c r="A20" s="68" t="s">
        <v>100</v>
      </c>
      <c r="B20" s="69">
        <f>SUM(B17:B19)</f>
        <v>6205405</v>
      </c>
      <c r="C20" s="69">
        <f t="shared" ref="C20:G20" si="5">SUM(C17:C19)</f>
        <v>9965657</v>
      </c>
      <c r="D20" s="69">
        <f t="shared" si="5"/>
        <v>12722552</v>
      </c>
      <c r="E20" s="69">
        <f>SUM(E17:E19)</f>
        <v>12695191.09317239</v>
      </c>
      <c r="F20" s="69">
        <f t="shared" si="5"/>
        <v>14823676.290058933</v>
      </c>
      <c r="G20" s="43">
        <f t="shared" si="5"/>
        <v>17291716.106707804</v>
      </c>
    </row>
    <row r="21" spans="1:7" x14ac:dyDescent="0.25">
      <c r="A21" s="78" t="s">
        <v>101</v>
      </c>
      <c r="B21" s="12">
        <f>'P&amp;L Statement '!B14</f>
        <v>-797415</v>
      </c>
      <c r="C21" s="12">
        <f>'P&amp;L Statement '!C14</f>
        <v>-1254026</v>
      </c>
      <c r="D21" s="12">
        <f>'P&amp;L Statement '!D14</f>
        <v>-1741351</v>
      </c>
      <c r="E21" s="12">
        <f>E20*E22</f>
        <v>-1655492.0799063116</v>
      </c>
      <c r="F21" s="12">
        <f t="shared" ref="F21:G21" si="6">F20*F22</f>
        <v>-1942440.3962621184</v>
      </c>
      <c r="G21" s="75">
        <f t="shared" si="6"/>
        <v>-2295824.8095845859</v>
      </c>
    </row>
    <row r="22" spans="1:7" x14ac:dyDescent="0.25">
      <c r="A22" s="81" t="s">
        <v>102</v>
      </c>
      <c r="B22" s="82">
        <f>B21/B20</f>
        <v>-0.12850329672277636</v>
      </c>
      <c r="C22" s="82">
        <f t="shared" ref="C22:D22" si="7">C21/C20</f>
        <v>-0.12583475429668109</v>
      </c>
      <c r="D22" s="82">
        <f t="shared" si="7"/>
        <v>-0.13687120319885507</v>
      </c>
      <c r="E22" s="83">
        <f>AVERAGE(B22:D22)</f>
        <v>-0.13040308473943751</v>
      </c>
      <c r="F22" s="83">
        <f t="shared" ref="F22:G22" si="8">AVERAGE(C22:E22)</f>
        <v>-0.1310363474116579</v>
      </c>
      <c r="G22" s="84">
        <f t="shared" si="8"/>
        <v>-0.13277021178331683</v>
      </c>
    </row>
    <row r="23" spans="1:7" x14ac:dyDescent="0.25">
      <c r="A23" s="44" t="s">
        <v>103</v>
      </c>
      <c r="B23" s="69">
        <f>SUM(B20+B21)</f>
        <v>5407990</v>
      </c>
      <c r="C23" s="69">
        <f t="shared" ref="C23:G23" si="9">SUM(C20+C21)</f>
        <v>8711631</v>
      </c>
      <c r="D23" s="69">
        <f t="shared" si="9"/>
        <v>10981201</v>
      </c>
      <c r="E23" s="69">
        <f t="shared" si="9"/>
        <v>11039699.013266079</v>
      </c>
      <c r="F23" s="69">
        <f t="shared" si="9"/>
        <v>12881235.893796815</v>
      </c>
      <c r="G23" s="69">
        <f t="shared" si="9"/>
        <v>14995891.297123218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2C80-FBDD-4EB8-9901-E790BC72BD7C}">
  <dimension ref="A1:G37"/>
  <sheetViews>
    <sheetView topLeftCell="A25" zoomScale="107" workbookViewId="0">
      <selection activeCell="E41" sqref="E41"/>
    </sheetView>
  </sheetViews>
  <sheetFormatPr defaultRowHeight="15" x14ac:dyDescent="0.25"/>
  <cols>
    <col min="1" max="1" width="38.7109375" style="92" bestFit="1" customWidth="1"/>
    <col min="2" max="3" width="13.85546875" style="111" bestFit="1" customWidth="1"/>
    <col min="4" max="4" width="13.85546875" style="112" bestFit="1" customWidth="1"/>
    <col min="5" max="5" width="14" style="92" bestFit="1" customWidth="1"/>
    <col min="6" max="6" width="13.85546875" style="92" bestFit="1" customWidth="1"/>
    <col min="7" max="7" width="14.42578125" style="92" bestFit="1" customWidth="1"/>
    <col min="8" max="16384" width="9.140625" style="92"/>
  </cols>
  <sheetData>
    <row r="1" spans="1:7" ht="26.25" x14ac:dyDescent="0.4">
      <c r="A1" s="108" t="s">
        <v>18</v>
      </c>
      <c r="B1" s="99">
        <v>2023</v>
      </c>
      <c r="C1" s="99">
        <v>2024</v>
      </c>
      <c r="D1" s="100">
        <v>2025</v>
      </c>
      <c r="E1" s="101">
        <v>2026</v>
      </c>
      <c r="F1" s="101">
        <v>2027</v>
      </c>
      <c r="G1" s="101">
        <v>2028</v>
      </c>
    </row>
    <row r="2" spans="1:7" ht="18.75" x14ac:dyDescent="0.3">
      <c r="A2" s="109" t="s">
        <v>19</v>
      </c>
      <c r="B2" s="110"/>
    </row>
    <row r="3" spans="1:7" x14ac:dyDescent="0.25">
      <c r="A3" s="113" t="s">
        <v>20</v>
      </c>
      <c r="B3" s="114"/>
      <c r="E3" s="107"/>
      <c r="F3" s="107"/>
      <c r="G3" s="107"/>
    </row>
    <row r="4" spans="1:7" x14ac:dyDescent="0.25">
      <c r="A4" s="115" t="s">
        <v>21</v>
      </c>
      <c r="B4" s="116">
        <v>7116913</v>
      </c>
      <c r="C4" s="116">
        <v>7804733</v>
      </c>
      <c r="D4" s="116">
        <v>9033681</v>
      </c>
      <c r="E4" s="116">
        <f>D4+'Cash Flow Statement '!E25</f>
        <v>19038695.331840336</v>
      </c>
      <c r="F4" s="116">
        <f>E4+'Cash Flow Statement '!F25</f>
        <v>31608456.959103685</v>
      </c>
      <c r="G4" s="116">
        <f>F4+'Cash Flow Statement '!G25</f>
        <v>46573783.499613963</v>
      </c>
    </row>
    <row r="5" spans="1:7" x14ac:dyDescent="0.25">
      <c r="A5" s="115" t="s">
        <v>22</v>
      </c>
      <c r="B5" s="116">
        <v>20973</v>
      </c>
      <c r="C5" s="116">
        <v>1779006</v>
      </c>
      <c r="D5" s="116">
        <v>28678</v>
      </c>
      <c r="E5" s="116">
        <v>28678</v>
      </c>
      <c r="F5" s="116">
        <v>28678</v>
      </c>
      <c r="G5" s="116">
        <v>28678</v>
      </c>
    </row>
    <row r="6" spans="1:7" x14ac:dyDescent="0.25">
      <c r="A6" s="115" t="s">
        <v>23</v>
      </c>
      <c r="B6" s="116">
        <v>2780247</v>
      </c>
      <c r="C6" s="116">
        <v>3516640</v>
      </c>
      <c r="D6" s="116">
        <v>3957832</v>
      </c>
      <c r="E6" s="116">
        <f>'Other Modeling '!E17</f>
        <v>4586845.7809414798</v>
      </c>
      <c r="F6" s="116">
        <f>'Other Modeling '!F17</f>
        <v>5314868.940185409</v>
      </c>
      <c r="G6" s="116">
        <f>'Other Modeling '!G17</f>
        <v>6158999.4246350275</v>
      </c>
    </row>
    <row r="7" spans="1:7" x14ac:dyDescent="0.25">
      <c r="A7" s="117" t="s">
        <v>24</v>
      </c>
      <c r="B7" s="118">
        <f t="shared" ref="B7:D7" si="0">SUM(B4:B6)</f>
        <v>9918133</v>
      </c>
      <c r="C7" s="118">
        <f t="shared" si="0"/>
        <v>13100379</v>
      </c>
      <c r="D7" s="118">
        <f t="shared" si="0"/>
        <v>13020191</v>
      </c>
      <c r="E7" s="118">
        <f t="shared" ref="E7:G7" si="1">SUM(E4:E6)</f>
        <v>23654219.112781815</v>
      </c>
      <c r="F7" s="118">
        <f t="shared" si="1"/>
        <v>36952003.899289094</v>
      </c>
      <c r="G7" s="118">
        <f t="shared" si="1"/>
        <v>52761460.924248993</v>
      </c>
    </row>
    <row r="8" spans="1:7" x14ac:dyDescent="0.25">
      <c r="A8" s="92" t="s">
        <v>39</v>
      </c>
      <c r="B8" s="116">
        <v>31658056</v>
      </c>
      <c r="C8" s="116">
        <v>32452462</v>
      </c>
      <c r="D8" s="116">
        <v>32778392</v>
      </c>
      <c r="E8" s="116">
        <f>Schedules!E14</f>
        <v>33333027.281737186</v>
      </c>
      <c r="F8" s="116">
        <f>Schedules!F14</f>
        <v>33706315.873844899</v>
      </c>
      <c r="G8" s="116">
        <f>Schedules!G14</f>
        <v>33957551.915954076</v>
      </c>
    </row>
    <row r="9" spans="1:7" x14ac:dyDescent="0.25">
      <c r="A9" s="92" t="s">
        <v>40</v>
      </c>
      <c r="B9" s="116">
        <v>1491444</v>
      </c>
      <c r="C9" s="116">
        <v>1593756</v>
      </c>
      <c r="D9" s="116">
        <v>2004350</v>
      </c>
      <c r="E9" s="116">
        <f>Schedules!E6</f>
        <v>2320828.2624001051</v>
      </c>
      <c r="F9" s="116">
        <f>Schedules!F6</f>
        <v>2622480.5489350911</v>
      </c>
      <c r="G9" s="116">
        <f>Schedules!G6</f>
        <v>2913298.3575627035</v>
      </c>
    </row>
    <row r="10" spans="1:7" x14ac:dyDescent="0.25">
      <c r="A10" s="92" t="s">
        <v>41</v>
      </c>
      <c r="B10" s="116">
        <v>5664359</v>
      </c>
      <c r="C10" s="116">
        <v>6483777</v>
      </c>
      <c r="D10" s="116">
        <v>7794060</v>
      </c>
      <c r="E10" s="116">
        <v>7794060</v>
      </c>
      <c r="F10" s="116">
        <v>7794060</v>
      </c>
      <c r="G10" s="116">
        <v>7794060</v>
      </c>
    </row>
    <row r="11" spans="1:7" x14ac:dyDescent="0.25">
      <c r="A11" s="117" t="s">
        <v>42</v>
      </c>
      <c r="B11" s="118">
        <f t="shared" ref="B11:D11" si="2">SUM(B7:B10)</f>
        <v>48731992</v>
      </c>
      <c r="C11" s="118">
        <f t="shared" si="2"/>
        <v>53630374</v>
      </c>
      <c r="D11" s="118">
        <f t="shared" si="2"/>
        <v>55596993</v>
      </c>
      <c r="E11" s="118">
        <f t="shared" ref="E11:G11" si="3">SUM(E7:E10)</f>
        <v>67102134.656919107</v>
      </c>
      <c r="F11" s="118">
        <f t="shared" si="3"/>
        <v>81074860.322069079</v>
      </c>
      <c r="G11" s="118">
        <f t="shared" si="3"/>
        <v>97426371.197765782</v>
      </c>
    </row>
    <row r="12" spans="1:7" ht="15.75" x14ac:dyDescent="0.25">
      <c r="A12" s="119" t="s">
        <v>137</v>
      </c>
      <c r="B12" s="118"/>
      <c r="C12" s="116"/>
      <c r="D12" s="116"/>
      <c r="E12" s="116"/>
      <c r="F12" s="116"/>
      <c r="G12" s="116"/>
    </row>
    <row r="13" spans="1:7" x14ac:dyDescent="0.25">
      <c r="A13" s="92" t="s">
        <v>26</v>
      </c>
      <c r="B13" s="116"/>
      <c r="C13" s="116"/>
      <c r="D13" s="116"/>
      <c r="E13" s="116"/>
      <c r="F13" s="116"/>
      <c r="G13" s="116"/>
    </row>
    <row r="14" spans="1:7" x14ac:dyDescent="0.25">
      <c r="A14" s="120" t="s">
        <v>27</v>
      </c>
      <c r="B14" s="116">
        <v>4466470</v>
      </c>
      <c r="C14" s="116">
        <v>4393681</v>
      </c>
      <c r="D14" s="116">
        <v>4084854</v>
      </c>
      <c r="E14" s="116">
        <v>4084854</v>
      </c>
      <c r="F14" s="116">
        <v>4084854</v>
      </c>
      <c r="G14" s="116">
        <v>4084854</v>
      </c>
    </row>
    <row r="15" spans="1:7" x14ac:dyDescent="0.25">
      <c r="A15" s="120" t="s">
        <v>28</v>
      </c>
      <c r="B15" s="116">
        <v>747412</v>
      </c>
      <c r="C15" s="116">
        <v>899909</v>
      </c>
      <c r="D15" s="116">
        <v>900612</v>
      </c>
      <c r="E15" s="116">
        <f>'Other Modeling '!E20</f>
        <v>1107088.165903491</v>
      </c>
      <c r="F15" s="116">
        <f>'Other Modeling '!F20</f>
        <v>1282804.9574842171</v>
      </c>
      <c r="G15" s="116">
        <f>'Other Modeling '!G20</f>
        <v>1486545.5919950935</v>
      </c>
    </row>
    <row r="16" spans="1:7" x14ac:dyDescent="0.25">
      <c r="A16" s="120" t="s">
        <v>29</v>
      </c>
      <c r="B16" s="116">
        <v>1803960</v>
      </c>
      <c r="C16" s="116">
        <v>2156544</v>
      </c>
      <c r="D16" s="116">
        <v>3220869</v>
      </c>
      <c r="E16" s="116">
        <f>'Other Modeling '!E23</f>
        <v>3143101.6315498282</v>
      </c>
      <c r="F16" s="116">
        <f>'Other Modeling '!F23</f>
        <v>3774067.5872790609</v>
      </c>
      <c r="G16" s="116">
        <f>'Other Modeling '!G23</f>
        <v>4535353.4432404479</v>
      </c>
    </row>
    <row r="17" spans="1:7" x14ac:dyDescent="0.25">
      <c r="A17" s="120" t="s">
        <v>30</v>
      </c>
      <c r="B17" s="116">
        <v>1442969</v>
      </c>
      <c r="C17" s="116">
        <v>1520813</v>
      </c>
      <c r="D17" s="116">
        <v>1775730</v>
      </c>
      <c r="E17" s="116">
        <f>'Other Modeling '!E26</f>
        <v>2113469.8461997095</v>
      </c>
      <c r="F17" s="116">
        <f>'Other Modeling '!F26</f>
        <v>2399826.8702429142</v>
      </c>
      <c r="G17" s="116">
        <f>'Other Modeling '!G26</f>
        <v>2794051.958344121</v>
      </c>
    </row>
    <row r="18" spans="1:7" x14ac:dyDescent="0.25">
      <c r="A18" s="120" t="s">
        <v>31</v>
      </c>
      <c r="B18" s="116">
        <v>399844</v>
      </c>
      <c r="C18" s="116">
        <v>1784453</v>
      </c>
      <c r="D18" s="116">
        <v>998865</v>
      </c>
      <c r="E18" s="116">
        <v>998865</v>
      </c>
      <c r="F18" s="116">
        <v>998865</v>
      </c>
      <c r="G18" s="116">
        <v>998865</v>
      </c>
    </row>
    <row r="19" spans="1:7" ht="15.75" x14ac:dyDescent="0.25">
      <c r="A19" s="121" t="s">
        <v>32</v>
      </c>
      <c r="B19" s="118">
        <f t="shared" ref="B19:D19" si="4">SUM(B14:B18)</f>
        <v>8860655</v>
      </c>
      <c r="C19" s="118">
        <f t="shared" si="4"/>
        <v>10755400</v>
      </c>
      <c r="D19" s="118">
        <f t="shared" si="4"/>
        <v>10980930</v>
      </c>
      <c r="E19" s="118">
        <f t="shared" ref="E19:G19" si="5">SUM(E14:E18)</f>
        <v>11447378.64365303</v>
      </c>
      <c r="F19" s="118">
        <f t="shared" si="5"/>
        <v>12540418.415006192</v>
      </c>
      <c r="G19" s="118">
        <f t="shared" si="5"/>
        <v>13899669.993579663</v>
      </c>
    </row>
    <row r="20" spans="1:7" x14ac:dyDescent="0.25">
      <c r="A20" s="113" t="s">
        <v>33</v>
      </c>
      <c r="B20" s="116">
        <v>2578173</v>
      </c>
      <c r="C20" s="116">
        <v>1780806</v>
      </c>
      <c r="D20" s="116">
        <v>1579476</v>
      </c>
      <c r="E20" s="116">
        <v>1579476</v>
      </c>
      <c r="F20" s="116">
        <v>1579476</v>
      </c>
      <c r="G20" s="116">
        <v>1579476</v>
      </c>
    </row>
    <row r="21" spans="1:7" x14ac:dyDescent="0.25">
      <c r="A21" s="113" t="s">
        <v>34</v>
      </c>
      <c r="B21" s="116">
        <v>14143417</v>
      </c>
      <c r="C21" s="116">
        <v>13798351</v>
      </c>
      <c r="D21" s="116">
        <v>13463971</v>
      </c>
      <c r="E21" s="116">
        <f>Schedules!E23</f>
        <v>13462965</v>
      </c>
      <c r="F21" s="116">
        <f>Schedules!F23</f>
        <v>13461415</v>
      </c>
      <c r="G21" s="116">
        <f>Schedules!G23</f>
        <v>13457783</v>
      </c>
    </row>
    <row r="22" spans="1:7" x14ac:dyDescent="0.25">
      <c r="A22" s="113" t="s">
        <v>35</v>
      </c>
      <c r="B22" s="116">
        <v>2561434</v>
      </c>
      <c r="C22" s="116">
        <v>2552250</v>
      </c>
      <c r="D22" s="116">
        <v>2957128</v>
      </c>
      <c r="E22" s="116">
        <v>2957128</v>
      </c>
      <c r="F22" s="116">
        <v>2957128</v>
      </c>
      <c r="G22" s="116">
        <v>2957128</v>
      </c>
    </row>
    <row r="23" spans="1:7" ht="15.75" x14ac:dyDescent="0.25">
      <c r="A23" s="119" t="s">
        <v>36</v>
      </c>
      <c r="B23" s="118">
        <f t="shared" ref="B23:D23" si="6">SUM(B19:B22)</f>
        <v>28143679</v>
      </c>
      <c r="C23" s="118">
        <f t="shared" si="6"/>
        <v>28886807</v>
      </c>
      <c r="D23" s="118">
        <f t="shared" si="6"/>
        <v>28981505</v>
      </c>
      <c r="E23" s="118">
        <f t="shared" ref="E23:G23" si="7">SUM(E19:E22)</f>
        <v>29446947.643653028</v>
      </c>
      <c r="F23" s="118">
        <f t="shared" si="7"/>
        <v>30538437.415006191</v>
      </c>
      <c r="G23" s="118">
        <f t="shared" si="7"/>
        <v>31894056.993579663</v>
      </c>
    </row>
    <row r="24" spans="1:7" x14ac:dyDescent="0.25">
      <c r="A24" s="92" t="s">
        <v>37</v>
      </c>
      <c r="E24" s="112"/>
      <c r="F24" s="112"/>
      <c r="G24" s="112"/>
    </row>
    <row r="25" spans="1:7" x14ac:dyDescent="0.25">
      <c r="A25" s="92" t="s">
        <v>38</v>
      </c>
      <c r="E25" s="112"/>
      <c r="F25" s="112"/>
      <c r="G25" s="112"/>
    </row>
    <row r="26" spans="1:7" x14ac:dyDescent="0.25">
      <c r="A26" s="92" t="s">
        <v>136</v>
      </c>
      <c r="B26" s="122"/>
      <c r="E26" s="112"/>
      <c r="F26" s="112"/>
      <c r="G26" s="112"/>
    </row>
    <row r="27" spans="1:7" x14ac:dyDescent="0.25">
      <c r="A27" s="115" t="s">
        <v>130</v>
      </c>
      <c r="B27" s="122">
        <v>5145172</v>
      </c>
      <c r="C27" s="123">
        <v>6252126</v>
      </c>
      <c r="D27" s="123">
        <v>7286410</v>
      </c>
      <c r="E27" s="123">
        <v>7286410</v>
      </c>
      <c r="F27" s="123">
        <v>7286410</v>
      </c>
      <c r="G27" s="123">
        <v>7286410</v>
      </c>
    </row>
    <row r="28" spans="1:7" x14ac:dyDescent="0.25">
      <c r="A28" s="115" t="s">
        <v>131</v>
      </c>
      <c r="B28" s="122">
        <v>-6922200</v>
      </c>
      <c r="C28" s="123">
        <v>-13171638</v>
      </c>
      <c r="D28" s="123">
        <v>-22372658</v>
      </c>
      <c r="E28" s="123">
        <v>-22372658</v>
      </c>
      <c r="F28" s="123">
        <v>-22372658</v>
      </c>
      <c r="G28" s="123">
        <v>-22372658</v>
      </c>
    </row>
    <row r="29" spans="1:7" x14ac:dyDescent="0.25">
      <c r="A29" s="115" t="s">
        <v>132</v>
      </c>
      <c r="B29" s="122">
        <v>-223945</v>
      </c>
      <c r="C29" s="123">
        <v>362162</v>
      </c>
      <c r="D29" s="123">
        <v>-580382</v>
      </c>
      <c r="E29" s="123">
        <v>-580382</v>
      </c>
      <c r="F29" s="123">
        <v>-580382</v>
      </c>
      <c r="G29" s="123">
        <v>-580382</v>
      </c>
    </row>
    <row r="30" spans="1:7" x14ac:dyDescent="0.25">
      <c r="A30" s="115" t="s">
        <v>133</v>
      </c>
      <c r="B30" s="122">
        <v>22589286</v>
      </c>
      <c r="C30" s="123">
        <v>31300917</v>
      </c>
      <c r="D30" s="123">
        <v>42282118</v>
      </c>
      <c r="E30" s="123">
        <f>D30 +'P&amp;l Statement Forcasted '!E23</f>
        <v>53321817.013266079</v>
      </c>
      <c r="F30" s="123">
        <f>E30+'P&amp;l Statement Forcasted '!F23</f>
        <v>66203052.907062896</v>
      </c>
      <c r="G30" s="123">
        <f>F30+'P&amp;l Statement Forcasted '!G23</f>
        <v>81198944.204186112</v>
      </c>
    </row>
    <row r="31" spans="1:7" x14ac:dyDescent="0.25">
      <c r="A31" s="124" t="s">
        <v>134</v>
      </c>
      <c r="B31" s="122">
        <f t="shared" ref="B31:D31" si="8">SUM(B27:B30)</f>
        <v>20588313</v>
      </c>
      <c r="C31" s="122">
        <f t="shared" si="8"/>
        <v>24743567</v>
      </c>
      <c r="D31" s="122">
        <f t="shared" si="8"/>
        <v>26615488</v>
      </c>
      <c r="E31" s="122">
        <f t="shared" ref="E31:G31" si="9">SUM(E27:E30)</f>
        <v>37655187.013266079</v>
      </c>
      <c r="F31" s="122">
        <f t="shared" si="9"/>
        <v>50536422.907062896</v>
      </c>
      <c r="G31" s="122">
        <f t="shared" si="9"/>
        <v>65532314.204186112</v>
      </c>
    </row>
    <row r="32" spans="1:7" x14ac:dyDescent="0.25">
      <c r="A32" s="124" t="s">
        <v>135</v>
      </c>
      <c r="B32" s="125">
        <f>SUM(B23+B31)</f>
        <v>48731992</v>
      </c>
      <c r="C32" s="118">
        <f>SUM(C23,C31)</f>
        <v>53630374</v>
      </c>
      <c r="D32" s="125">
        <f>SUM(D23,D31)</f>
        <v>55596993</v>
      </c>
      <c r="E32" s="125">
        <f t="shared" ref="E32:G32" si="10">SUM(E23,E31)</f>
        <v>67102134.656919107</v>
      </c>
      <c r="F32" s="125">
        <f>SUM(F23,F31)</f>
        <v>81074860.322069079</v>
      </c>
      <c r="G32" s="125">
        <f t="shared" si="10"/>
        <v>97426371.197765768</v>
      </c>
    </row>
    <row r="33" spans="1:7" x14ac:dyDescent="0.25">
      <c r="E33" s="112"/>
      <c r="F33" s="112"/>
      <c r="G33" s="112"/>
    </row>
    <row r="34" spans="1:7" x14ac:dyDescent="0.25">
      <c r="A34" s="92" t="s">
        <v>129</v>
      </c>
      <c r="B34" s="111" t="b">
        <f>B11=B32</f>
        <v>1</v>
      </c>
      <c r="C34" s="111" t="b">
        <f>C32=C11</f>
        <v>1</v>
      </c>
      <c r="D34" s="111" t="b">
        <f>D32=D11</f>
        <v>1</v>
      </c>
      <c r="E34" s="111" t="b">
        <f t="shared" ref="E34:G34" si="11">E32=E11</f>
        <v>1</v>
      </c>
      <c r="F34" s="111" t="b">
        <f>F32=F11</f>
        <v>1</v>
      </c>
      <c r="G34" s="111" t="b">
        <f t="shared" si="11"/>
        <v>1</v>
      </c>
    </row>
    <row r="37" spans="1:7" x14ac:dyDescent="0.25">
      <c r="E37" s="122">
        <f>E11-E32</f>
        <v>0</v>
      </c>
      <c r="F37" s="122">
        <f t="shared" ref="F37:G37" si="12">F11-F32</f>
        <v>0</v>
      </c>
      <c r="G37" s="122">
        <f t="shared" si="12"/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0E66-B4B5-4237-985D-3152D3385E77}">
  <dimension ref="A1:H25"/>
  <sheetViews>
    <sheetView tabSelected="1" topLeftCell="A14" zoomScale="119" workbookViewId="0">
      <selection activeCell="C26" sqref="C26"/>
    </sheetView>
  </sheetViews>
  <sheetFormatPr defaultRowHeight="15" x14ac:dyDescent="0.25"/>
  <cols>
    <col min="1" max="1" width="47.85546875" bestFit="1" customWidth="1"/>
    <col min="2" max="2" width="14" bestFit="1" customWidth="1"/>
    <col min="3" max="4" width="15.5703125" bestFit="1" customWidth="1"/>
    <col min="5" max="7" width="16.85546875" bestFit="1" customWidth="1"/>
  </cols>
  <sheetData>
    <row r="1" spans="1:8" ht="26.25" x14ac:dyDescent="0.4">
      <c r="A1" s="102" t="s">
        <v>138</v>
      </c>
    </row>
    <row r="3" spans="1:8" x14ac:dyDescent="0.25">
      <c r="A3" s="92" t="s">
        <v>1</v>
      </c>
      <c r="B3" s="99"/>
      <c r="C3" s="99"/>
      <c r="D3" s="100"/>
      <c r="E3" s="101">
        <v>2026</v>
      </c>
      <c r="F3" s="101">
        <v>2027</v>
      </c>
      <c r="G3" s="101">
        <v>2028</v>
      </c>
    </row>
    <row r="4" spans="1:8" x14ac:dyDescent="0.25">
      <c r="A4" s="86" t="s">
        <v>99</v>
      </c>
      <c r="B4" s="103"/>
      <c r="C4" s="71"/>
      <c r="D4" s="71"/>
      <c r="E4" s="71">
        <f>'P&amp;l Statement Forcasted '!E17</f>
        <v>13409815.110731497</v>
      </c>
      <c r="F4" s="71">
        <f>'P&amp;l Statement Forcasted '!F17</f>
        <v>15538218.032485688</v>
      </c>
      <c r="G4" s="71">
        <f>'P&amp;l Statement Forcasted '!G17</f>
        <v>18006065.059921205</v>
      </c>
    </row>
    <row r="5" spans="1:8" x14ac:dyDescent="0.25">
      <c r="A5" s="87" t="s">
        <v>109</v>
      </c>
      <c r="B5" s="104"/>
      <c r="C5" s="12"/>
      <c r="D5" s="12"/>
      <c r="E5" s="12">
        <f>E4*E6</f>
        <v>-1748681.2562249091</v>
      </c>
      <c r="F5" s="12">
        <f t="shared" ref="F5:G5" si="0">F4*F6</f>
        <v>-2036071.336262882</v>
      </c>
      <c r="G5" s="12">
        <f t="shared" si="0"/>
        <v>-2390669.0713899196</v>
      </c>
    </row>
    <row r="6" spans="1:8" x14ac:dyDescent="0.25">
      <c r="A6" s="88" t="s">
        <v>110</v>
      </c>
      <c r="B6" s="105"/>
      <c r="C6" s="106"/>
      <c r="D6" s="106"/>
      <c r="E6" s="106">
        <f>'P&amp;l Statement Forcasted '!E22</f>
        <v>-0.13040308473943751</v>
      </c>
      <c r="F6" s="106">
        <f>'P&amp;l Statement Forcasted '!F22</f>
        <v>-0.1310363474116579</v>
      </c>
      <c r="G6" s="106">
        <f>'P&amp;l Statement Forcasted '!G22</f>
        <v>-0.13277021178331683</v>
      </c>
    </row>
    <row r="7" spans="1:8" x14ac:dyDescent="0.25">
      <c r="A7" s="89" t="s">
        <v>111</v>
      </c>
      <c r="B7" s="127"/>
      <c r="C7" s="127"/>
      <c r="D7" s="127"/>
      <c r="E7" s="127">
        <f>SUM(E4:E5)</f>
        <v>11661133.854506588</v>
      </c>
      <c r="F7" s="127">
        <f t="shared" ref="F7:G7" si="1">SUM(F4:F5)</f>
        <v>13502146.696222806</v>
      </c>
      <c r="G7" s="128">
        <f t="shared" si="1"/>
        <v>15615395.988531286</v>
      </c>
    </row>
    <row r="8" spans="1:8" x14ac:dyDescent="0.25">
      <c r="A8" s="87" t="s">
        <v>112</v>
      </c>
      <c r="E8" s="12">
        <f>Schedules!E5</f>
        <v>427504.73759989499</v>
      </c>
      <c r="F8" s="12">
        <f>Schedules!F5</f>
        <v>442330.71346501395</v>
      </c>
      <c r="G8" s="12">
        <f>Schedules!G5</f>
        <v>453165.19137238775</v>
      </c>
    </row>
    <row r="9" spans="1:8" x14ac:dyDescent="0.25">
      <c r="A9" s="88" t="s">
        <v>113</v>
      </c>
      <c r="B9" s="85"/>
      <c r="C9" s="85"/>
      <c r="D9" s="85"/>
      <c r="E9" s="26">
        <f>Schedules!E13</f>
        <v>16193460.718262816</v>
      </c>
      <c r="F9" s="26">
        <f>Schedules!F13</f>
        <v>16374807.407892287</v>
      </c>
      <c r="G9" s="26">
        <f>Schedules!G13</f>
        <v>16496859.957890823</v>
      </c>
      <c r="H9" s="12"/>
    </row>
    <row r="10" spans="1:8" x14ac:dyDescent="0.25">
      <c r="A10" s="90" t="s">
        <v>114</v>
      </c>
      <c r="B10" s="17"/>
      <c r="C10" s="17"/>
      <c r="D10" s="17"/>
      <c r="E10" s="17">
        <f>SUM(E7:E9)</f>
        <v>28282099.310369298</v>
      </c>
      <c r="F10" s="17">
        <f t="shared" ref="F10:G10" si="2">SUM(F7:F9)</f>
        <v>30319284.817580108</v>
      </c>
      <c r="G10" s="129">
        <f t="shared" si="2"/>
        <v>32565421.137794495</v>
      </c>
    </row>
    <row r="11" spans="1:8" x14ac:dyDescent="0.25">
      <c r="A11" s="87" t="s">
        <v>125</v>
      </c>
      <c r="E11" s="12">
        <f>'Other Modeling '!E20-'Other Modeling '!D20</f>
        <v>206476.16590349097</v>
      </c>
      <c r="F11" s="12">
        <f>'Other Modeling '!F20-'Other Modeling '!E20</f>
        <v>175716.79158072616</v>
      </c>
      <c r="G11" s="12">
        <f>'Other Modeling '!G20-'Other Modeling '!F20</f>
        <v>203740.63451087638</v>
      </c>
    </row>
    <row r="12" spans="1:8" x14ac:dyDescent="0.25">
      <c r="A12" s="87" t="s">
        <v>126</v>
      </c>
      <c r="E12" s="12">
        <f>'Other Modeling '!E26-'Other Modeling '!D26</f>
        <v>337739.84619970946</v>
      </c>
      <c r="F12" s="12">
        <f>'Other Modeling '!F26-'Other Modeling '!E26</f>
        <v>286357.02404320473</v>
      </c>
      <c r="G12" s="12">
        <f>'Other Modeling '!G26-'Other Modeling '!F26</f>
        <v>394225.08810120681</v>
      </c>
    </row>
    <row r="13" spans="1:8" x14ac:dyDescent="0.25">
      <c r="A13" s="87"/>
      <c r="G13" s="79"/>
    </row>
    <row r="14" spans="1:8" x14ac:dyDescent="0.25">
      <c r="A14" s="87" t="s">
        <v>127</v>
      </c>
      <c r="E14" s="12">
        <f>'Other Modeling '!E23-'Other Modeling '!D23</f>
        <v>-77767.36845017178</v>
      </c>
      <c r="F14" s="12">
        <f>'Other Modeling '!F23-'Other Modeling '!E23</f>
        <v>630965.95572923264</v>
      </c>
      <c r="G14" s="12">
        <f>'Other Modeling '!G23-'Other Modeling '!F23</f>
        <v>761285.85596138705</v>
      </c>
    </row>
    <row r="15" spans="1:8" x14ac:dyDescent="0.25">
      <c r="A15" s="87" t="s">
        <v>128</v>
      </c>
      <c r="E15" s="12">
        <f>-SUM('Other Modeling '!E17-'Other Modeling '!D17)</f>
        <v>-629013.78094147984</v>
      </c>
      <c r="F15" s="12">
        <f>-SUM('Other Modeling '!F17-'Other Modeling '!E17)</f>
        <v>-728023.1592439292</v>
      </c>
      <c r="G15" s="12">
        <f>-SUM('Other Modeling '!G17-'Other Modeling '!F17)</f>
        <v>-844130.4844496185</v>
      </c>
    </row>
    <row r="16" spans="1:8" x14ac:dyDescent="0.25">
      <c r="A16" s="124" t="s">
        <v>115</v>
      </c>
      <c r="B16" s="126"/>
      <c r="C16" s="126"/>
      <c r="D16" s="126"/>
      <c r="E16" s="45">
        <f>SUM(E11:E15)</f>
        <v>-162565.13728845119</v>
      </c>
      <c r="F16" s="45">
        <f t="shared" ref="F16:G16" si="3">SUM(F11:F15)</f>
        <v>365016.61210923432</v>
      </c>
      <c r="G16" s="46">
        <f t="shared" si="3"/>
        <v>515121.09412385174</v>
      </c>
    </row>
    <row r="17" spans="1:7" x14ac:dyDescent="0.25">
      <c r="A17" s="87" t="s">
        <v>123</v>
      </c>
      <c r="E17" s="12">
        <f>Schedules!E12</f>
        <v>16748096</v>
      </c>
      <c r="F17" s="12">
        <f>Schedules!F12</f>
        <v>16748096</v>
      </c>
      <c r="G17" s="12">
        <f>Schedules!G12</f>
        <v>16748096</v>
      </c>
    </row>
    <row r="18" spans="1:7" x14ac:dyDescent="0.25">
      <c r="A18" s="88" t="s">
        <v>124</v>
      </c>
      <c r="B18" s="73"/>
      <c r="C18" s="85"/>
      <c r="D18" s="85"/>
      <c r="E18" s="26">
        <f>Schedules!E4</f>
        <v>743983</v>
      </c>
      <c r="F18" s="26">
        <f>Schedules!F4</f>
        <v>743983</v>
      </c>
      <c r="G18" s="26">
        <f>Schedules!G4</f>
        <v>743983</v>
      </c>
    </row>
    <row r="19" spans="1:7" x14ac:dyDescent="0.25">
      <c r="A19" s="90" t="s">
        <v>116</v>
      </c>
      <c r="E19" s="17">
        <f>-SUM(E17:E18)</f>
        <v>-17492079</v>
      </c>
      <c r="F19" s="17">
        <f t="shared" ref="F19:G19" si="4">-SUM(F17:F18)</f>
        <v>-17492079</v>
      </c>
      <c r="G19" s="17">
        <f t="shared" si="4"/>
        <v>-17492079</v>
      </c>
    </row>
    <row r="20" spans="1:7" x14ac:dyDescent="0.25">
      <c r="A20" s="91" t="s">
        <v>117</v>
      </c>
      <c r="G20" s="79"/>
    </row>
    <row r="21" spans="1:7" x14ac:dyDescent="0.25">
      <c r="A21" s="132" t="s">
        <v>118</v>
      </c>
      <c r="B21" s="133"/>
      <c r="C21" s="134"/>
      <c r="D21" s="134"/>
      <c r="E21" s="135">
        <f>SUM(E10,E16,E19)</f>
        <v>10627455.173080847</v>
      </c>
      <c r="F21" s="135">
        <f t="shared" ref="F21:G21" si="5">SUM(F10,F16,F19)</f>
        <v>13192222.42968934</v>
      </c>
      <c r="G21" s="135">
        <f t="shared" si="5"/>
        <v>15588463.231918346</v>
      </c>
    </row>
    <row r="22" spans="1:7" x14ac:dyDescent="0.25">
      <c r="A22" s="87" t="s">
        <v>121</v>
      </c>
      <c r="E22" s="29">
        <f>Schedules!E22</f>
        <v>-1006</v>
      </c>
      <c r="F22" s="29">
        <f>Schedules!F22</f>
        <v>-1550</v>
      </c>
      <c r="G22" s="29">
        <f>Schedules!G22</f>
        <v>-3632</v>
      </c>
    </row>
    <row r="23" spans="1:7" x14ac:dyDescent="0.25">
      <c r="A23" s="87" t="s">
        <v>120</v>
      </c>
      <c r="E23" s="12">
        <f>Schedules!E25</f>
        <v>-714624.01755910716</v>
      </c>
      <c r="F23" s="12">
        <f>Schedules!F25</f>
        <v>-714541.74242675572</v>
      </c>
      <c r="G23" s="12">
        <f>Schedules!G25</f>
        <v>-714348.95321340079</v>
      </c>
    </row>
    <row r="24" spans="1:7" x14ac:dyDescent="0.25">
      <c r="A24" s="87" t="s">
        <v>119</v>
      </c>
      <c r="E24" s="12">
        <f>'P&amp;l Statement Forcasted '!E21-'Cash Flow Statement '!E5</f>
        <v>93189.176318597514</v>
      </c>
      <c r="F24" s="12">
        <f>'P&amp;l Statement Forcasted '!F21-'Cash Flow Statement '!F5</f>
        <v>93630.940000763629</v>
      </c>
      <c r="G24" s="12">
        <f>'P&amp;l Statement Forcasted '!G21-'Cash Flow Statement '!G5</f>
        <v>94844.261805333663</v>
      </c>
    </row>
    <row r="25" spans="1:7" x14ac:dyDescent="0.25">
      <c r="A25" s="91" t="s">
        <v>122</v>
      </c>
      <c r="B25" s="85"/>
      <c r="C25" s="85"/>
      <c r="D25" s="85"/>
      <c r="E25" s="130">
        <f>SUM(E21:E24)</f>
        <v>10005014.331840336</v>
      </c>
      <c r="F25" s="130">
        <f t="shared" ref="F25:G25" si="6">SUM(F21:F24)</f>
        <v>12569761.627263349</v>
      </c>
      <c r="G25" s="131">
        <f t="shared" si="6"/>
        <v>14965326.540510278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 Statement </vt:lpstr>
      <vt:lpstr>Balance Sheet Input </vt:lpstr>
      <vt:lpstr>Revenue Modeling  </vt:lpstr>
      <vt:lpstr>Other Modeling </vt:lpstr>
      <vt:lpstr>Schedules</vt:lpstr>
      <vt:lpstr>P&amp;l Statement Forcasted </vt:lpstr>
      <vt:lpstr>Balance Sheet Forcast </vt:lpstr>
      <vt:lpstr>Cash Flow Statement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Oli</dc:creator>
  <cp:lastModifiedBy>Priyanshu Oli</cp:lastModifiedBy>
  <dcterms:created xsi:type="dcterms:W3CDTF">2015-06-05T18:17:20Z</dcterms:created>
  <dcterms:modified xsi:type="dcterms:W3CDTF">2026-06-30T19:26:18Z</dcterms:modified>
</cp:coreProperties>
</file>